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TT$&quot;#,##0.00;(&quot;TT$&quot;#,##0.00);&quot;-&quot;"/>
    <numFmt numFmtId="166" formatCode="yyyy-mm-dd"/>
    <numFmt numFmtId="167" formatCode="dd mmm yyyy"/>
    <numFmt numFmtId="168" formatCode="mmm yyyy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C3359"/>
      <sz val="14"/>
    </font>
    <font>
      <name val="Arial"/>
      <i val="1"/>
      <color rgb="005A6472"/>
    </font>
    <font>
      <name val="Arial"/>
      <b val="1"/>
    </font>
    <font>
      <name val="Arial"/>
      <color rgb="000000FF"/>
    </font>
    <font>
      <name val="Arial"/>
    </font>
    <font>
      <name val="Arial"/>
      <b val="1"/>
      <color rgb="00FFFFFF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C33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7" fillId="0" borderId="0" pivotButton="0" quotePrefix="0" xfId="0"/>
    <xf numFmtId="169" fontId="7" fillId="0" borderId="0" pivotButton="0" quotePrefix="0" xfId="0"/>
    <xf numFmtId="164" fontId="7" fillId="0" borderId="0" pivotButton="0" quotePrefix="0" xfId="0"/>
    <xf numFmtId="0" fontId="6" fillId="3" borderId="0" applyAlignment="1" pivotButton="0" quotePrefix="0" xfId="0">
      <alignment vertical="center" wrapText="1"/>
    </xf>
    <xf numFmtId="168" fontId="4" fillId="0" borderId="0" pivotButton="0" quotePrefix="0" xfId="0"/>
    <xf numFmtId="168" fontId="7" fillId="0" borderId="0" pivotButton="0" quotePrefix="0" xfId="0"/>
    <xf numFmtId="165" fontId="3" fillId="0" borderId="0" pivotButton="0" quotePrefix="0" xfId="0"/>
    <xf numFmtId="164" fontId="4" fillId="0" borderId="0" pivotButton="0" quotePrefix="0" xfId="0"/>
    <xf numFmtId="165" fontId="7" fillId="2" borderId="0" pivotButton="0" quotePrefix="0" xfId="0"/>
    <xf numFmtId="165" fontId="4" fillId="0" borderId="0" pivotButton="0" quotePrefix="0" xfId="0"/>
    <xf numFmtId="167" fontId="5" fillId="0" borderId="0" pivotButton="0" quotePrefix="0" xfId="0"/>
    <xf numFmtId="0" fontId="5" fillId="0" borderId="0" pivotButton="0" quotePrefix="0" xfId="0"/>
    <xf numFmtId="167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Portside Digital</author>
  </authors>
  <commentList>
    <comment ref="A23" authorId="0" shapeId="0">
      <text>
        <t>First month of the table. Change it and the rest follow.</t>
      </text>
    </comment>
  </commentList>
</comments>
</file>

<file path=xl/comments/comment2.xml><?xml version="1.0" encoding="utf-8"?>
<comments xmlns="http://schemas.openxmlformats.org/spreadsheetml/2006/main">
  <authors>
    <author>Portside Digital</author>
  </authors>
  <commentList>
    <comment ref="B14" authorId="0" shapeId="0">
      <text>
        <t>Source: approximate, Claude Max 5x at about US$100/month converted at about TT$6.8 per US$. Check current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Portside Digital: Money Summary</t>
        </is>
      </c>
      <c r="B1" s="2" t="n"/>
      <c r="C1" s="2" t="n"/>
      <c r="D1" s="2" t="n"/>
      <c r="E1" s="2" t="n"/>
      <c r="F1" s="2" t="n"/>
    </row>
    <row r="2">
      <c r="A2" s="3" t="inlineStr">
        <is>
          <t>Everything here is calculated from the Income, Expenses and Settings tabs.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Totals</t>
        </is>
      </c>
      <c r="B4" s="2" t="n"/>
      <c r="C4" s="2" t="n"/>
      <c r="D4" s="2" t="n"/>
      <c r="E4" s="2" t="n"/>
      <c r="F4" s="2" t="n"/>
    </row>
    <row r="5">
      <c r="A5" s="2" t="inlineStr">
        <is>
          <t>Total earned (paid)</t>
        </is>
      </c>
      <c r="B5" s="5">
        <f>SUMIFS(Income!D:D,Income!E:E,"Paid")</f>
        <v/>
      </c>
      <c r="C5" s="2" t="n"/>
      <c r="D5" s="2" t="n"/>
      <c r="E5" s="2" t="n"/>
      <c r="F5" s="2" t="n"/>
    </row>
    <row r="6">
      <c r="A6" s="2" t="inlineStr">
        <is>
          <t>Still owed by clients</t>
        </is>
      </c>
      <c r="B6" s="5">
        <f>SUMIFS(Income!D:D,Income!E:E,"Owed")</f>
        <v/>
      </c>
      <c r="C6" s="2" t="n"/>
      <c r="D6" s="2" t="n"/>
      <c r="E6" s="2" t="n"/>
      <c r="F6" s="2" t="n"/>
    </row>
    <row r="7">
      <c r="A7" s="2" t="inlineStr">
        <is>
          <t>Business spending</t>
        </is>
      </c>
      <c r="B7" s="5">
        <f>SUM(Expenses!D:D)</f>
        <v/>
      </c>
      <c r="C7" s="2" t="n"/>
      <c r="D7" s="2" t="n"/>
      <c r="E7" s="2" t="n"/>
      <c r="F7" s="2" t="n"/>
    </row>
    <row r="8">
      <c r="A8" s="4" t="inlineStr">
        <is>
          <t>Where the money goes</t>
        </is>
      </c>
      <c r="B8" s="2" t="n"/>
      <c r="C8" s="2" t="n"/>
      <c r="D8" s="2" t="n"/>
      <c r="E8" s="2" t="n"/>
      <c r="F8" s="2" t="n"/>
    </row>
    <row r="9">
      <c r="A9" s="2" t="inlineStr">
        <is>
          <t>Tax &amp; NIS set aside</t>
        </is>
      </c>
      <c r="B9" s="5">
        <f>SUM(Income!H:H)</f>
        <v/>
      </c>
      <c r="C9" s="2" t="n"/>
      <c r="D9" s="2" t="n"/>
      <c r="E9" s="2" t="n"/>
      <c r="F9" s="2" t="n"/>
    </row>
    <row r="10">
      <c r="A10" s="2" t="inlineStr">
        <is>
          <t>Business costs money</t>
        </is>
      </c>
      <c r="B10" s="5">
        <f>SUM(Income!I:I)</f>
        <v/>
      </c>
      <c r="C10" s="2" t="n"/>
      <c r="D10" s="2" t="n"/>
      <c r="E10" s="2" t="n"/>
      <c r="F10" s="2" t="n"/>
    </row>
    <row r="11">
      <c r="A11" s="2" t="inlineStr">
        <is>
          <t>Business money left after spending</t>
        </is>
      </c>
      <c r="B11" s="5">
        <f>B10-B7</f>
        <v/>
      </c>
      <c r="C11" s="2" t="n"/>
      <c r="D11" s="2" t="n"/>
      <c r="E11" s="2" t="n"/>
      <c r="F11" s="2" t="n"/>
    </row>
    <row r="12">
      <c r="A12" s="2" t="inlineStr">
        <is>
          <t>Emergency fund</t>
        </is>
      </c>
      <c r="B12" s="5">
        <f>SUM(Income!J:J)</f>
        <v/>
      </c>
      <c r="C12" s="2" t="n"/>
      <c r="D12" s="2" t="n"/>
      <c r="E12" s="2" t="n"/>
      <c r="F12" s="2" t="n"/>
    </row>
    <row r="13">
      <c r="A13" s="2" t="inlineStr">
        <is>
          <t>Pay yourself</t>
        </is>
      </c>
      <c r="B13" s="5">
        <f>SUM(Income!K:K)</f>
        <v/>
      </c>
      <c r="C13" s="2" t="n"/>
      <c r="D13" s="2" t="n"/>
      <c r="E13" s="2" t="n"/>
      <c r="F13" s="2" t="n"/>
    </row>
    <row r="14">
      <c r="A14" s="4" t="inlineStr">
        <is>
          <t>Goals</t>
        </is>
      </c>
      <c r="B14" s="2" t="n"/>
      <c r="C14" s="2" t="n"/>
      <c r="D14" s="2" t="n"/>
      <c r="E14" s="2" t="n"/>
      <c r="F14" s="2" t="n"/>
    </row>
    <row r="15">
      <c r="A15" s="2" t="inlineStr">
        <is>
          <t>Months of Claude Max covered</t>
        </is>
      </c>
      <c r="B15" s="6">
        <f>IF(Settings!B14=0,0,B11/Settings!B14)</f>
        <v/>
      </c>
      <c r="C15" s="2" t="n"/>
      <c r="D15" s="2" t="n"/>
      <c r="E15" s="2" t="n"/>
      <c r="F15" s="2" t="n"/>
    </row>
    <row r="16">
      <c r="A16" s="2" t="inlineStr">
        <is>
          <t>Emergency fund progress</t>
        </is>
      </c>
      <c r="B16" s="7">
        <f>IF(N(Settings!B12)=0,0,B12/Settings!B12)</f>
        <v/>
      </c>
      <c r="C16" s="2" t="n"/>
      <c r="D16" s="2" t="n"/>
      <c r="E16" s="2" t="n"/>
      <c r="F16" s="2" t="n"/>
    </row>
    <row r="17">
      <c r="A17" s="2" t="inlineStr">
        <is>
          <t>Left to save for the PC</t>
        </is>
      </c>
      <c r="B17" s="5">
        <f>MAX(0,N(Settings!B13)-Settings!B16)</f>
        <v/>
      </c>
      <c r="C17" s="2" t="n"/>
      <c r="D17" s="2" t="n"/>
      <c r="E17" s="2" t="n"/>
      <c r="F17" s="2" t="n"/>
    </row>
    <row r="18">
      <c r="A18" s="2" t="inlineStr">
        <is>
          <t>PC savings progress</t>
        </is>
      </c>
      <c r="B18" s="7">
        <f>IF(N(Settings!B13)=0,0,Settings!B16/Settings!B13)</f>
        <v/>
      </c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4" t="inlineStr">
        <is>
          <t>By month</t>
        </is>
      </c>
      <c r="B21" s="2" t="n"/>
      <c r="C21" s="2" t="n"/>
      <c r="D21" s="2" t="n"/>
      <c r="E21" s="2" t="n"/>
      <c r="F21" s="2" t="n"/>
    </row>
    <row r="22">
      <c r="A22" s="8" t="inlineStr">
        <is>
          <t>Month</t>
        </is>
      </c>
      <c r="B22" s="8" t="inlineStr">
        <is>
          <t>Earned (paid)</t>
        </is>
      </c>
      <c r="C22" s="8" t="inlineStr">
        <is>
          <t>Still owed</t>
        </is>
      </c>
      <c r="D22" s="8" t="inlineStr">
        <is>
          <t>Business spending</t>
        </is>
      </c>
      <c r="E22" s="8" t="inlineStr">
        <is>
          <t>Tax &amp; NIS set aside</t>
        </is>
      </c>
      <c r="F22" s="8" t="inlineStr">
        <is>
          <t>Pay yourself</t>
        </is>
      </c>
    </row>
    <row r="23">
      <c r="A23" s="9" t="n">
        <v>46296</v>
      </c>
      <c r="B23" s="5">
        <f>SUMIFS(Income!$D:$D,Income!$L:$L,$A23,Income!$E:$E,"Paid")</f>
        <v/>
      </c>
      <c r="C23" s="5">
        <f>SUMIFS(Income!$D:$D,Income!$L:$L,$A23,Income!$E:$E,"Owed")</f>
        <v/>
      </c>
      <c r="D23" s="5">
        <f>SUMIFS(Expenses!$D:$D,Expenses!$G:$G,$A23)</f>
        <v/>
      </c>
      <c r="E23" s="5">
        <f>SUMIFS(Income!$H:$H,Income!$L:$L,$A23)</f>
        <v/>
      </c>
      <c r="F23" s="5">
        <f>SUMIFS(Income!$K:$K,Income!$L:$L,$A23)</f>
        <v/>
      </c>
    </row>
    <row r="24">
      <c r="A24" s="10">
        <f>EDATE(A23,1)</f>
        <v/>
      </c>
      <c r="B24" s="5">
        <f>SUMIFS(Income!$D:$D,Income!$L:$L,$A24,Income!$E:$E,"Paid")</f>
        <v/>
      </c>
      <c r="C24" s="5">
        <f>SUMIFS(Income!$D:$D,Income!$L:$L,$A24,Income!$E:$E,"Owed")</f>
        <v/>
      </c>
      <c r="D24" s="5">
        <f>SUMIFS(Expenses!$D:$D,Expenses!$G:$G,$A24)</f>
        <v/>
      </c>
      <c r="E24" s="5">
        <f>SUMIFS(Income!$H:$H,Income!$L:$L,$A24)</f>
        <v/>
      </c>
      <c r="F24" s="5">
        <f>SUMIFS(Income!$K:$K,Income!$L:$L,$A24)</f>
        <v/>
      </c>
    </row>
    <row r="25">
      <c r="A25" s="10">
        <f>EDATE(A24,1)</f>
        <v/>
      </c>
      <c r="B25" s="5">
        <f>SUMIFS(Income!$D:$D,Income!$L:$L,$A25,Income!$E:$E,"Paid")</f>
        <v/>
      </c>
      <c r="C25" s="5">
        <f>SUMIFS(Income!$D:$D,Income!$L:$L,$A25,Income!$E:$E,"Owed")</f>
        <v/>
      </c>
      <c r="D25" s="5">
        <f>SUMIFS(Expenses!$D:$D,Expenses!$G:$G,$A25)</f>
        <v/>
      </c>
      <c r="E25" s="5">
        <f>SUMIFS(Income!$H:$H,Income!$L:$L,$A25)</f>
        <v/>
      </c>
      <c r="F25" s="5">
        <f>SUMIFS(Income!$K:$K,Income!$L:$L,$A25)</f>
        <v/>
      </c>
    </row>
    <row r="26">
      <c r="A26" s="10">
        <f>EDATE(A25,1)</f>
        <v/>
      </c>
      <c r="B26" s="5">
        <f>SUMIFS(Income!$D:$D,Income!$L:$L,$A26,Income!$E:$E,"Paid")</f>
        <v/>
      </c>
      <c r="C26" s="5">
        <f>SUMIFS(Income!$D:$D,Income!$L:$L,$A26,Income!$E:$E,"Owed")</f>
        <v/>
      </c>
      <c r="D26" s="5">
        <f>SUMIFS(Expenses!$D:$D,Expenses!$G:$G,$A26)</f>
        <v/>
      </c>
      <c r="E26" s="5">
        <f>SUMIFS(Income!$H:$H,Income!$L:$L,$A26)</f>
        <v/>
      </c>
      <c r="F26" s="5">
        <f>SUMIFS(Income!$K:$K,Income!$L:$L,$A26)</f>
        <v/>
      </c>
    </row>
    <row r="27">
      <c r="A27" s="10">
        <f>EDATE(A26,1)</f>
        <v/>
      </c>
      <c r="B27" s="5">
        <f>SUMIFS(Income!$D:$D,Income!$L:$L,$A27,Income!$E:$E,"Paid")</f>
        <v/>
      </c>
      <c r="C27" s="5">
        <f>SUMIFS(Income!$D:$D,Income!$L:$L,$A27,Income!$E:$E,"Owed")</f>
        <v/>
      </c>
      <c r="D27" s="5">
        <f>SUMIFS(Expenses!$D:$D,Expenses!$G:$G,$A27)</f>
        <v/>
      </c>
      <c r="E27" s="5">
        <f>SUMIFS(Income!$H:$H,Income!$L:$L,$A27)</f>
        <v/>
      </c>
      <c r="F27" s="5">
        <f>SUMIFS(Income!$K:$K,Income!$L:$L,$A27)</f>
        <v/>
      </c>
    </row>
    <row r="28">
      <c r="A28" s="10">
        <f>EDATE(A27,1)</f>
        <v/>
      </c>
      <c r="B28" s="5">
        <f>SUMIFS(Income!$D:$D,Income!$L:$L,$A28,Income!$E:$E,"Paid")</f>
        <v/>
      </c>
      <c r="C28" s="5">
        <f>SUMIFS(Income!$D:$D,Income!$L:$L,$A28,Income!$E:$E,"Owed")</f>
        <v/>
      </c>
      <c r="D28" s="5">
        <f>SUMIFS(Expenses!$D:$D,Expenses!$G:$G,$A28)</f>
        <v/>
      </c>
      <c r="E28" s="5">
        <f>SUMIFS(Income!$H:$H,Income!$L:$L,$A28)</f>
        <v/>
      </c>
      <c r="F28" s="5">
        <f>SUMIFS(Income!$K:$K,Income!$L:$L,$A28)</f>
        <v/>
      </c>
    </row>
    <row r="29">
      <c r="A29" s="10">
        <f>EDATE(A28,1)</f>
        <v/>
      </c>
      <c r="B29" s="5">
        <f>SUMIFS(Income!$D:$D,Income!$L:$L,$A29,Income!$E:$E,"Paid")</f>
        <v/>
      </c>
      <c r="C29" s="5">
        <f>SUMIFS(Income!$D:$D,Income!$L:$L,$A29,Income!$E:$E,"Owed")</f>
        <v/>
      </c>
      <c r="D29" s="5">
        <f>SUMIFS(Expenses!$D:$D,Expenses!$G:$G,$A29)</f>
        <v/>
      </c>
      <c r="E29" s="5">
        <f>SUMIFS(Income!$H:$H,Income!$L:$L,$A29)</f>
        <v/>
      </c>
      <c r="F29" s="5">
        <f>SUMIFS(Income!$K:$K,Income!$L:$L,$A29)</f>
        <v/>
      </c>
    </row>
    <row r="30">
      <c r="A30" s="10">
        <f>EDATE(A29,1)</f>
        <v/>
      </c>
      <c r="B30" s="5">
        <f>SUMIFS(Income!$D:$D,Income!$L:$L,$A30,Income!$E:$E,"Paid")</f>
        <v/>
      </c>
      <c r="C30" s="5">
        <f>SUMIFS(Income!$D:$D,Income!$L:$L,$A30,Income!$E:$E,"Owed")</f>
        <v/>
      </c>
      <c r="D30" s="5">
        <f>SUMIFS(Expenses!$D:$D,Expenses!$G:$G,$A30)</f>
        <v/>
      </c>
      <c r="E30" s="5">
        <f>SUMIFS(Income!$H:$H,Income!$L:$L,$A30)</f>
        <v/>
      </c>
      <c r="F30" s="5">
        <f>SUMIFS(Income!$K:$K,Income!$L:$L,$A30)</f>
        <v/>
      </c>
    </row>
    <row r="31">
      <c r="A31" s="10">
        <f>EDATE(A30,1)</f>
        <v/>
      </c>
      <c r="B31" s="5">
        <f>SUMIFS(Income!$D:$D,Income!$L:$L,$A31,Income!$E:$E,"Paid")</f>
        <v/>
      </c>
      <c r="C31" s="5">
        <f>SUMIFS(Income!$D:$D,Income!$L:$L,$A31,Income!$E:$E,"Owed")</f>
        <v/>
      </c>
      <c r="D31" s="5">
        <f>SUMIFS(Expenses!$D:$D,Expenses!$G:$G,$A31)</f>
        <v/>
      </c>
      <c r="E31" s="5">
        <f>SUMIFS(Income!$H:$H,Income!$L:$L,$A31)</f>
        <v/>
      </c>
      <c r="F31" s="5">
        <f>SUMIFS(Income!$K:$K,Income!$L:$L,$A31)</f>
        <v/>
      </c>
    </row>
    <row r="32">
      <c r="A32" s="10">
        <f>EDATE(A31,1)</f>
        <v/>
      </c>
      <c r="B32" s="5">
        <f>SUMIFS(Income!$D:$D,Income!$L:$L,$A32,Income!$E:$E,"Paid")</f>
        <v/>
      </c>
      <c r="C32" s="5">
        <f>SUMIFS(Income!$D:$D,Income!$L:$L,$A32,Income!$E:$E,"Owed")</f>
        <v/>
      </c>
      <c r="D32" s="5">
        <f>SUMIFS(Expenses!$D:$D,Expenses!$G:$G,$A32)</f>
        <v/>
      </c>
      <c r="E32" s="5">
        <f>SUMIFS(Income!$H:$H,Income!$L:$L,$A32)</f>
        <v/>
      </c>
      <c r="F32" s="5">
        <f>SUMIFS(Income!$K:$K,Income!$L:$L,$A32)</f>
        <v/>
      </c>
    </row>
    <row r="33">
      <c r="A33" s="10">
        <f>EDATE(A32,1)</f>
        <v/>
      </c>
      <c r="B33" s="5">
        <f>SUMIFS(Income!$D:$D,Income!$L:$L,$A33,Income!$E:$E,"Paid")</f>
        <v/>
      </c>
      <c r="C33" s="5">
        <f>SUMIFS(Income!$D:$D,Income!$L:$L,$A33,Income!$E:$E,"Owed")</f>
        <v/>
      </c>
      <c r="D33" s="5">
        <f>SUMIFS(Expenses!$D:$D,Expenses!$G:$G,$A33)</f>
        <v/>
      </c>
      <c r="E33" s="5">
        <f>SUMIFS(Income!$H:$H,Income!$L:$L,$A33)</f>
        <v/>
      </c>
      <c r="F33" s="5">
        <f>SUMIFS(Income!$K:$K,Income!$L:$L,$A33)</f>
        <v/>
      </c>
    </row>
    <row r="34">
      <c r="A34" s="10">
        <f>EDATE(A33,1)</f>
        <v/>
      </c>
      <c r="B34" s="5">
        <f>SUMIFS(Income!$D:$D,Income!$L:$L,$A34,Income!$E:$E,"Paid")</f>
        <v/>
      </c>
      <c r="C34" s="5">
        <f>SUMIFS(Income!$D:$D,Income!$L:$L,$A34,Income!$E:$E,"Owed")</f>
        <v/>
      </c>
      <c r="D34" s="5">
        <f>SUMIFS(Expenses!$D:$D,Expenses!$G:$G,$A34)</f>
        <v/>
      </c>
      <c r="E34" s="5">
        <f>SUMIFS(Income!$H:$H,Income!$L:$L,$A34)</f>
        <v/>
      </c>
      <c r="F34" s="5">
        <f>SUMIFS(Income!$K:$K,Income!$L:$L,$A34)</f>
        <v/>
      </c>
    </row>
    <row r="35">
      <c r="A35" s="4" t="inlineStr">
        <is>
          <t>Total</t>
        </is>
      </c>
      <c r="B35" s="11">
        <f>SUM(B23:B34)</f>
        <v/>
      </c>
      <c r="C35" s="11">
        <f>SUM(C23:C34)</f>
        <v/>
      </c>
      <c r="D35" s="11">
        <f>SUM(D23:D34)</f>
        <v/>
      </c>
      <c r="E35" s="11">
        <f>SUM(E23:E34)</f>
        <v/>
      </c>
      <c r="F35" s="11">
        <f>SUM(F23:F34)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8" customWidth="1" min="3" max="3"/>
  </cols>
  <sheetData>
    <row r="1">
      <c r="A1" s="1" t="inlineStr">
        <is>
          <t>Settings</t>
        </is>
      </c>
      <c r="B1" s="2" t="n"/>
      <c r="C1" s="2" t="n"/>
    </row>
    <row r="2">
      <c r="A2" s="3" t="inlineStr">
        <is>
          <t>Blue text = numbers you can change. Yellow = fill in. Black = formulas, don't type over them.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How each payment is split</t>
        </is>
      </c>
      <c r="B4" s="2" t="n"/>
      <c r="C4" s="2" t="n"/>
    </row>
    <row r="5">
      <c r="A5" s="2" t="inlineStr">
        <is>
          <t>Tax &amp; NIS savings</t>
        </is>
      </c>
      <c r="B5" s="12" t="n">
        <v>0.2</v>
      </c>
      <c r="C5" s="2" t="n"/>
    </row>
    <row r="6">
      <c r="A6" s="2" t="inlineStr">
        <is>
          <t>Business costs</t>
        </is>
      </c>
      <c r="B6" s="12" t="n">
        <v>0.15</v>
      </c>
      <c r="C6" s="2" t="n"/>
    </row>
    <row r="7">
      <c r="A7" s="2" t="inlineStr">
        <is>
          <t>Emergency fund</t>
        </is>
      </c>
      <c r="B7" s="12" t="n">
        <v>0.15</v>
      </c>
      <c r="C7" s="2" t="n"/>
    </row>
    <row r="8">
      <c r="A8" s="2" t="inlineStr">
        <is>
          <t>Pay yourself</t>
        </is>
      </c>
      <c r="B8" s="7">
        <f>1-SUM(B5:B7)</f>
        <v/>
      </c>
      <c r="C8" s="2" t="n"/>
    </row>
    <row r="9">
      <c r="A9" s="4" t="inlineStr">
        <is>
          <t>Total (must be 100%)</t>
        </is>
      </c>
      <c r="B9" s="7">
        <f>SUM(B5:B8)</f>
        <v/>
      </c>
      <c r="C9" s="2" t="n"/>
    </row>
    <row r="10">
      <c r="A10" s="2" t="n"/>
      <c r="B10" s="2" t="n"/>
      <c r="C10" s="2" t="n"/>
    </row>
    <row r="11">
      <c r="A11" s="4" t="inlineStr">
        <is>
          <t>Goals</t>
        </is>
      </c>
      <c r="B11" s="2" t="n"/>
      <c r="C11" s="2" t="n"/>
    </row>
    <row r="12">
      <c r="A12" s="2" t="inlineStr">
        <is>
          <t>Emergency fund target</t>
        </is>
      </c>
      <c r="B12" s="13" t="n"/>
      <c r="C12" s="3" t="inlineStr">
        <is>
          <t>About 3 months of your bills</t>
        </is>
      </c>
    </row>
    <row r="13">
      <c r="A13" s="2" t="inlineStr">
        <is>
          <t>PC build budget</t>
        </is>
      </c>
      <c r="B13" s="13" t="n"/>
      <c r="C13" s="3" t="inlineStr">
        <is>
          <t>Your total quote for the PC</t>
        </is>
      </c>
    </row>
    <row r="14">
      <c r="A14" s="2" t="inlineStr">
        <is>
          <t>Claude Max cost per month</t>
        </is>
      </c>
      <c r="B14" s="14" t="n">
        <v>680</v>
      </c>
      <c r="C14" s="3" t="inlineStr">
        <is>
          <t>About US$100 a month; check the current price and exchange rate</t>
        </is>
      </c>
    </row>
    <row r="15">
      <c r="A15" s="2" t="n"/>
      <c r="B15" s="2" t="n"/>
      <c r="C15" s="2" t="n"/>
    </row>
    <row r="16">
      <c r="A16" s="2" t="inlineStr">
        <is>
          <t>Saved toward PC so far</t>
        </is>
      </c>
      <c r="B16" s="14" t="n">
        <v>0</v>
      </c>
      <c r="C16" s="3" t="inlineStr">
        <is>
          <t>Update this when you move money into PC savings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15" customWidth="1" min="4" max="4"/>
    <col width="11" customWidth="1" min="5" max="5"/>
    <col width="16" customWidth="1" min="6" max="6"/>
    <col width="30" customWidth="1" min="7" max="7"/>
    <col width="14" customWidth="1" min="8" max="8"/>
    <col width="15" customWidth="1" min="9" max="9"/>
    <col width="15" customWidth="1" min="10" max="10"/>
    <col width="14" customWidth="1" min="11" max="11"/>
    <col width="11" customWidth="1" min="12" max="12"/>
  </cols>
  <sheetData>
    <row r="1">
      <c r="A1" s="8" t="inlineStr">
        <is>
          <t>Date</t>
        </is>
      </c>
      <c r="B1" s="8" t="inlineStr">
        <is>
          <t>Client</t>
        </is>
      </c>
      <c r="C1" s="8" t="inlineStr">
        <is>
          <t>What for</t>
        </is>
      </c>
      <c r="D1" s="8" t="inlineStr">
        <is>
          <t>Amount (TT$)</t>
        </is>
      </c>
      <c r="E1" s="8" t="inlineStr">
        <is>
          <t>Status</t>
        </is>
      </c>
      <c r="F1" s="8" t="inlineStr">
        <is>
          <t>Payment method</t>
        </is>
      </c>
      <c r="G1" s="8" t="inlineStr">
        <is>
          <t>Notes</t>
        </is>
      </c>
      <c r="H1" s="8" t="inlineStr">
        <is>
          <t>Tax &amp; NIS</t>
        </is>
      </c>
      <c r="I1" s="8" t="inlineStr">
        <is>
          <t>Business costs</t>
        </is>
      </c>
      <c r="J1" s="8" t="inlineStr">
        <is>
          <t>Emergency fund</t>
        </is>
      </c>
      <c r="K1" s="8" t="inlineStr">
        <is>
          <t>Pay yourself</t>
        </is>
      </c>
      <c r="L1" s="8" t="inlineStr">
        <is>
          <t>Month</t>
        </is>
      </c>
    </row>
    <row r="2">
      <c r="A2" s="15" t="n">
        <v>46308</v>
      </c>
      <c r="B2" s="16" t="inlineStr">
        <is>
          <t>Example Boutique</t>
        </is>
      </c>
      <c r="C2" s="16" t="inlineStr">
        <is>
          <t>Website deposit (50%)</t>
        </is>
      </c>
      <c r="D2" s="14" t="n">
        <v>8000</v>
      </c>
      <c r="E2" s="16" t="inlineStr">
        <is>
          <t>Paid</t>
        </is>
      </c>
      <c r="F2" s="16" t="inlineStr">
        <is>
          <t>Bank transfer</t>
        </is>
      </c>
      <c r="G2" s="16" t="inlineStr">
        <is>
          <t>Example row: replace or delete</t>
        </is>
      </c>
      <c r="H2" s="5">
        <f>IF($E2="Paid",$D2*Settings!$B$5,"")</f>
        <v/>
      </c>
      <c r="I2" s="5">
        <f>IF($E2="Paid",$D2*Settings!$B$6,"")</f>
        <v/>
      </c>
      <c r="J2" s="5">
        <f>IF($E2="Paid",$D2*Settings!$B$7,"")</f>
        <v/>
      </c>
      <c r="K2" s="5">
        <f>IF($E2="Paid",$D2*Settings!$B$8,"")</f>
        <v/>
      </c>
      <c r="L2" s="10">
        <f>IF($A2="","",DATE(YEAR($A2),MONTH($A2),1))</f>
        <v/>
      </c>
    </row>
    <row r="3">
      <c r="A3" s="15" t="n"/>
      <c r="B3" s="16" t="n"/>
      <c r="C3" s="16" t="n"/>
      <c r="D3" s="14" t="n"/>
      <c r="E3" s="16" t="n"/>
      <c r="F3" s="16" t="n"/>
      <c r="G3" s="16" t="n"/>
      <c r="H3" s="5">
        <f>IF($E3="Paid",$D3*Settings!$B$5,"")</f>
        <v/>
      </c>
      <c r="I3" s="5">
        <f>IF($E3="Paid",$D3*Settings!$B$6,"")</f>
        <v/>
      </c>
      <c r="J3" s="5">
        <f>IF($E3="Paid",$D3*Settings!$B$7,"")</f>
        <v/>
      </c>
      <c r="K3" s="5">
        <f>IF($E3="Paid",$D3*Settings!$B$8,"")</f>
        <v/>
      </c>
      <c r="L3" s="10">
        <f>IF($A3="","",DATE(YEAR($A3),MONTH($A3),1))</f>
        <v/>
      </c>
    </row>
    <row r="4">
      <c r="A4" s="15" t="n"/>
      <c r="B4" s="16" t="n"/>
      <c r="C4" s="16" t="n"/>
      <c r="D4" s="14" t="n"/>
      <c r="E4" s="16" t="n"/>
      <c r="F4" s="16" t="n"/>
      <c r="G4" s="16" t="n"/>
      <c r="H4" s="5">
        <f>IF($E4="Paid",$D4*Settings!$B$5,"")</f>
        <v/>
      </c>
      <c r="I4" s="5">
        <f>IF($E4="Paid",$D4*Settings!$B$6,"")</f>
        <v/>
      </c>
      <c r="J4" s="5">
        <f>IF($E4="Paid",$D4*Settings!$B$7,"")</f>
        <v/>
      </c>
      <c r="K4" s="5">
        <f>IF($E4="Paid",$D4*Settings!$B$8,"")</f>
        <v/>
      </c>
      <c r="L4" s="10">
        <f>IF($A4="","",DATE(YEAR($A4),MONTH($A4),1))</f>
        <v/>
      </c>
    </row>
    <row r="5">
      <c r="A5" s="15" t="n"/>
      <c r="B5" s="16" t="n"/>
      <c r="C5" s="16" t="n"/>
      <c r="D5" s="14" t="n"/>
      <c r="E5" s="16" t="n"/>
      <c r="F5" s="16" t="n"/>
      <c r="G5" s="16" t="n"/>
      <c r="H5" s="5">
        <f>IF($E5="Paid",$D5*Settings!$B$5,"")</f>
        <v/>
      </c>
      <c r="I5" s="5">
        <f>IF($E5="Paid",$D5*Settings!$B$6,"")</f>
        <v/>
      </c>
      <c r="J5" s="5">
        <f>IF($E5="Paid",$D5*Settings!$B$7,"")</f>
        <v/>
      </c>
      <c r="K5" s="5">
        <f>IF($E5="Paid",$D5*Settings!$B$8,"")</f>
        <v/>
      </c>
      <c r="L5" s="10">
        <f>IF($A5="","",DATE(YEAR($A5),MONTH($A5),1))</f>
        <v/>
      </c>
    </row>
    <row r="6">
      <c r="A6" s="15" t="n"/>
      <c r="B6" s="16" t="n"/>
      <c r="C6" s="16" t="n"/>
      <c r="D6" s="14" t="n"/>
      <c r="E6" s="16" t="n"/>
      <c r="F6" s="16" t="n"/>
      <c r="G6" s="16" t="n"/>
      <c r="H6" s="5">
        <f>IF($E6="Paid",$D6*Settings!$B$5,"")</f>
        <v/>
      </c>
      <c r="I6" s="5">
        <f>IF($E6="Paid",$D6*Settings!$B$6,"")</f>
        <v/>
      </c>
      <c r="J6" s="5">
        <f>IF($E6="Paid",$D6*Settings!$B$7,"")</f>
        <v/>
      </c>
      <c r="K6" s="5">
        <f>IF($E6="Paid",$D6*Settings!$B$8,"")</f>
        <v/>
      </c>
      <c r="L6" s="10">
        <f>IF($A6="","",DATE(YEAR($A6),MONTH($A6),1))</f>
        <v/>
      </c>
    </row>
    <row r="7">
      <c r="A7" s="15" t="n"/>
      <c r="B7" s="16" t="n"/>
      <c r="C7" s="16" t="n"/>
      <c r="D7" s="14" t="n"/>
      <c r="E7" s="16" t="n"/>
      <c r="F7" s="16" t="n"/>
      <c r="G7" s="16" t="n"/>
      <c r="H7" s="5">
        <f>IF($E7="Paid",$D7*Settings!$B$5,"")</f>
        <v/>
      </c>
      <c r="I7" s="5">
        <f>IF($E7="Paid",$D7*Settings!$B$6,"")</f>
        <v/>
      </c>
      <c r="J7" s="5">
        <f>IF($E7="Paid",$D7*Settings!$B$7,"")</f>
        <v/>
      </c>
      <c r="K7" s="5">
        <f>IF($E7="Paid",$D7*Settings!$B$8,"")</f>
        <v/>
      </c>
      <c r="L7" s="10">
        <f>IF($A7="","",DATE(YEAR($A7),MONTH($A7),1))</f>
        <v/>
      </c>
    </row>
    <row r="8">
      <c r="A8" s="15" t="n"/>
      <c r="B8" s="16" t="n"/>
      <c r="C8" s="16" t="n"/>
      <c r="D8" s="14" t="n"/>
      <c r="E8" s="16" t="n"/>
      <c r="F8" s="16" t="n"/>
      <c r="G8" s="16" t="n"/>
      <c r="H8" s="5">
        <f>IF($E8="Paid",$D8*Settings!$B$5,"")</f>
        <v/>
      </c>
      <c r="I8" s="5">
        <f>IF($E8="Paid",$D8*Settings!$B$6,"")</f>
        <v/>
      </c>
      <c r="J8" s="5">
        <f>IF($E8="Paid",$D8*Settings!$B$7,"")</f>
        <v/>
      </c>
      <c r="K8" s="5">
        <f>IF($E8="Paid",$D8*Settings!$B$8,"")</f>
        <v/>
      </c>
      <c r="L8" s="10">
        <f>IF($A8="","",DATE(YEAR($A8),MONTH($A8),1))</f>
        <v/>
      </c>
    </row>
    <row r="9">
      <c r="A9" s="15" t="n"/>
      <c r="B9" s="16" t="n"/>
      <c r="C9" s="16" t="n"/>
      <c r="D9" s="14" t="n"/>
      <c r="E9" s="16" t="n"/>
      <c r="F9" s="16" t="n"/>
      <c r="G9" s="16" t="n"/>
      <c r="H9" s="5">
        <f>IF($E9="Paid",$D9*Settings!$B$5,"")</f>
        <v/>
      </c>
      <c r="I9" s="5">
        <f>IF($E9="Paid",$D9*Settings!$B$6,"")</f>
        <v/>
      </c>
      <c r="J9" s="5">
        <f>IF($E9="Paid",$D9*Settings!$B$7,"")</f>
        <v/>
      </c>
      <c r="K9" s="5">
        <f>IF($E9="Paid",$D9*Settings!$B$8,"")</f>
        <v/>
      </c>
      <c r="L9" s="10">
        <f>IF($A9="","",DATE(YEAR($A9),MONTH($A9),1))</f>
        <v/>
      </c>
    </row>
    <row r="10">
      <c r="A10" s="15" t="n"/>
      <c r="B10" s="16" t="n"/>
      <c r="C10" s="16" t="n"/>
      <c r="D10" s="14" t="n"/>
      <c r="E10" s="16" t="n"/>
      <c r="F10" s="16" t="n"/>
      <c r="G10" s="16" t="n"/>
      <c r="H10" s="5">
        <f>IF($E10="Paid",$D10*Settings!$B$5,"")</f>
        <v/>
      </c>
      <c r="I10" s="5">
        <f>IF($E10="Paid",$D10*Settings!$B$6,"")</f>
        <v/>
      </c>
      <c r="J10" s="5">
        <f>IF($E10="Paid",$D10*Settings!$B$7,"")</f>
        <v/>
      </c>
      <c r="K10" s="5">
        <f>IF($E10="Paid",$D10*Settings!$B$8,"")</f>
        <v/>
      </c>
      <c r="L10" s="10">
        <f>IF($A10="","",DATE(YEAR($A10),MONTH($A10),1))</f>
        <v/>
      </c>
    </row>
    <row r="11">
      <c r="A11" s="15" t="n"/>
      <c r="B11" s="16" t="n"/>
      <c r="C11" s="16" t="n"/>
      <c r="D11" s="14" t="n"/>
      <c r="E11" s="16" t="n"/>
      <c r="F11" s="16" t="n"/>
      <c r="G11" s="16" t="n"/>
      <c r="H11" s="5">
        <f>IF($E11="Paid",$D11*Settings!$B$5,"")</f>
        <v/>
      </c>
      <c r="I11" s="5">
        <f>IF($E11="Paid",$D11*Settings!$B$6,"")</f>
        <v/>
      </c>
      <c r="J11" s="5">
        <f>IF($E11="Paid",$D11*Settings!$B$7,"")</f>
        <v/>
      </c>
      <c r="K11" s="5">
        <f>IF($E11="Paid",$D11*Settings!$B$8,"")</f>
        <v/>
      </c>
      <c r="L11" s="10">
        <f>IF($A11="","",DATE(YEAR($A11),MONTH($A11),1))</f>
        <v/>
      </c>
    </row>
    <row r="12">
      <c r="A12" s="15" t="n"/>
      <c r="B12" s="16" t="n"/>
      <c r="C12" s="16" t="n"/>
      <c r="D12" s="14" t="n"/>
      <c r="E12" s="16" t="n"/>
      <c r="F12" s="16" t="n"/>
      <c r="G12" s="16" t="n"/>
      <c r="H12" s="5">
        <f>IF($E12="Paid",$D12*Settings!$B$5,"")</f>
        <v/>
      </c>
      <c r="I12" s="5">
        <f>IF($E12="Paid",$D12*Settings!$B$6,"")</f>
        <v/>
      </c>
      <c r="J12" s="5">
        <f>IF($E12="Paid",$D12*Settings!$B$7,"")</f>
        <v/>
      </c>
      <c r="K12" s="5">
        <f>IF($E12="Paid",$D12*Settings!$B$8,"")</f>
        <v/>
      </c>
      <c r="L12" s="10">
        <f>IF($A12="","",DATE(YEAR($A12),MONTH($A12),1))</f>
        <v/>
      </c>
    </row>
    <row r="13">
      <c r="A13" s="15" t="n"/>
      <c r="B13" s="16" t="n"/>
      <c r="C13" s="16" t="n"/>
      <c r="D13" s="14" t="n"/>
      <c r="E13" s="16" t="n"/>
      <c r="F13" s="16" t="n"/>
      <c r="G13" s="16" t="n"/>
      <c r="H13" s="5">
        <f>IF($E13="Paid",$D13*Settings!$B$5,"")</f>
        <v/>
      </c>
      <c r="I13" s="5">
        <f>IF($E13="Paid",$D13*Settings!$B$6,"")</f>
        <v/>
      </c>
      <c r="J13" s="5">
        <f>IF($E13="Paid",$D13*Settings!$B$7,"")</f>
        <v/>
      </c>
      <c r="K13" s="5">
        <f>IF($E13="Paid",$D13*Settings!$B$8,"")</f>
        <v/>
      </c>
      <c r="L13" s="10">
        <f>IF($A13="","",DATE(YEAR($A13),MONTH($A13),1))</f>
        <v/>
      </c>
    </row>
    <row r="14">
      <c r="A14" s="15" t="n"/>
      <c r="B14" s="16" t="n"/>
      <c r="C14" s="16" t="n"/>
      <c r="D14" s="14" t="n"/>
      <c r="E14" s="16" t="n"/>
      <c r="F14" s="16" t="n"/>
      <c r="G14" s="16" t="n"/>
      <c r="H14" s="5">
        <f>IF($E14="Paid",$D14*Settings!$B$5,"")</f>
        <v/>
      </c>
      <c r="I14" s="5">
        <f>IF($E14="Paid",$D14*Settings!$B$6,"")</f>
        <v/>
      </c>
      <c r="J14" s="5">
        <f>IF($E14="Paid",$D14*Settings!$B$7,"")</f>
        <v/>
      </c>
      <c r="K14" s="5">
        <f>IF($E14="Paid",$D14*Settings!$B$8,"")</f>
        <v/>
      </c>
      <c r="L14" s="10">
        <f>IF($A14="","",DATE(YEAR($A14),MONTH($A14),1))</f>
        <v/>
      </c>
    </row>
    <row r="15">
      <c r="A15" s="15" t="n"/>
      <c r="B15" s="16" t="n"/>
      <c r="C15" s="16" t="n"/>
      <c r="D15" s="14" t="n"/>
      <c r="E15" s="16" t="n"/>
      <c r="F15" s="16" t="n"/>
      <c r="G15" s="16" t="n"/>
      <c r="H15" s="5">
        <f>IF($E15="Paid",$D15*Settings!$B$5,"")</f>
        <v/>
      </c>
      <c r="I15" s="5">
        <f>IF($E15="Paid",$D15*Settings!$B$6,"")</f>
        <v/>
      </c>
      <c r="J15" s="5">
        <f>IF($E15="Paid",$D15*Settings!$B$7,"")</f>
        <v/>
      </c>
      <c r="K15" s="5">
        <f>IF($E15="Paid",$D15*Settings!$B$8,"")</f>
        <v/>
      </c>
      <c r="L15" s="10">
        <f>IF($A15="","",DATE(YEAR($A15),MONTH($A15),1))</f>
        <v/>
      </c>
    </row>
    <row r="16">
      <c r="A16" s="15" t="n"/>
      <c r="B16" s="16" t="n"/>
      <c r="C16" s="16" t="n"/>
      <c r="D16" s="14" t="n"/>
      <c r="E16" s="16" t="n"/>
      <c r="F16" s="16" t="n"/>
      <c r="G16" s="16" t="n"/>
      <c r="H16" s="5">
        <f>IF($E16="Paid",$D16*Settings!$B$5,"")</f>
        <v/>
      </c>
      <c r="I16" s="5">
        <f>IF($E16="Paid",$D16*Settings!$B$6,"")</f>
        <v/>
      </c>
      <c r="J16" s="5">
        <f>IF($E16="Paid",$D16*Settings!$B$7,"")</f>
        <v/>
      </c>
      <c r="K16" s="5">
        <f>IF($E16="Paid",$D16*Settings!$B$8,"")</f>
        <v/>
      </c>
      <c r="L16" s="10">
        <f>IF($A16="","",DATE(YEAR($A16),MONTH($A16),1))</f>
        <v/>
      </c>
    </row>
    <row r="17">
      <c r="A17" s="15" t="n"/>
      <c r="B17" s="16" t="n"/>
      <c r="C17" s="16" t="n"/>
      <c r="D17" s="14" t="n"/>
      <c r="E17" s="16" t="n"/>
      <c r="F17" s="16" t="n"/>
      <c r="G17" s="16" t="n"/>
      <c r="H17" s="5">
        <f>IF($E17="Paid",$D17*Settings!$B$5,"")</f>
        <v/>
      </c>
      <c r="I17" s="5">
        <f>IF($E17="Paid",$D17*Settings!$B$6,"")</f>
        <v/>
      </c>
      <c r="J17" s="5">
        <f>IF($E17="Paid",$D17*Settings!$B$7,"")</f>
        <v/>
      </c>
      <c r="K17" s="5">
        <f>IF($E17="Paid",$D17*Settings!$B$8,"")</f>
        <v/>
      </c>
      <c r="L17" s="10">
        <f>IF($A17="","",DATE(YEAR($A17),MONTH($A17),1))</f>
        <v/>
      </c>
    </row>
    <row r="18">
      <c r="A18" s="15" t="n"/>
      <c r="B18" s="16" t="n"/>
      <c r="C18" s="16" t="n"/>
      <c r="D18" s="14" t="n"/>
      <c r="E18" s="16" t="n"/>
      <c r="F18" s="16" t="n"/>
      <c r="G18" s="16" t="n"/>
      <c r="H18" s="5">
        <f>IF($E18="Paid",$D18*Settings!$B$5,"")</f>
        <v/>
      </c>
      <c r="I18" s="5">
        <f>IF($E18="Paid",$D18*Settings!$B$6,"")</f>
        <v/>
      </c>
      <c r="J18" s="5">
        <f>IF($E18="Paid",$D18*Settings!$B$7,"")</f>
        <v/>
      </c>
      <c r="K18" s="5">
        <f>IF($E18="Paid",$D18*Settings!$B$8,"")</f>
        <v/>
      </c>
      <c r="L18" s="10">
        <f>IF($A18="","",DATE(YEAR($A18),MONTH($A18),1))</f>
        <v/>
      </c>
    </row>
    <row r="19">
      <c r="A19" s="15" t="n"/>
      <c r="B19" s="16" t="n"/>
      <c r="C19" s="16" t="n"/>
      <c r="D19" s="14" t="n"/>
      <c r="E19" s="16" t="n"/>
      <c r="F19" s="16" t="n"/>
      <c r="G19" s="16" t="n"/>
      <c r="H19" s="5">
        <f>IF($E19="Paid",$D19*Settings!$B$5,"")</f>
        <v/>
      </c>
      <c r="I19" s="5">
        <f>IF($E19="Paid",$D19*Settings!$B$6,"")</f>
        <v/>
      </c>
      <c r="J19" s="5">
        <f>IF($E19="Paid",$D19*Settings!$B$7,"")</f>
        <v/>
      </c>
      <c r="K19" s="5">
        <f>IF($E19="Paid",$D19*Settings!$B$8,"")</f>
        <v/>
      </c>
      <c r="L19" s="10">
        <f>IF($A19="","",DATE(YEAR($A19),MONTH($A19),1))</f>
        <v/>
      </c>
    </row>
    <row r="20">
      <c r="A20" s="15" t="n"/>
      <c r="B20" s="16" t="n"/>
      <c r="C20" s="16" t="n"/>
      <c r="D20" s="14" t="n"/>
      <c r="E20" s="16" t="n"/>
      <c r="F20" s="16" t="n"/>
      <c r="G20" s="16" t="n"/>
      <c r="H20" s="5">
        <f>IF($E20="Paid",$D20*Settings!$B$5,"")</f>
        <v/>
      </c>
      <c r="I20" s="5">
        <f>IF($E20="Paid",$D20*Settings!$B$6,"")</f>
        <v/>
      </c>
      <c r="J20" s="5">
        <f>IF($E20="Paid",$D20*Settings!$B$7,"")</f>
        <v/>
      </c>
      <c r="K20" s="5">
        <f>IF($E20="Paid",$D20*Settings!$B$8,"")</f>
        <v/>
      </c>
      <c r="L20" s="10">
        <f>IF($A20="","",DATE(YEAR($A20),MONTH($A20),1))</f>
        <v/>
      </c>
    </row>
    <row r="21">
      <c r="A21" s="15" t="n"/>
      <c r="B21" s="16" t="n"/>
      <c r="C21" s="16" t="n"/>
      <c r="D21" s="14" t="n"/>
      <c r="E21" s="16" t="n"/>
      <c r="F21" s="16" t="n"/>
      <c r="G21" s="16" t="n"/>
      <c r="H21" s="5">
        <f>IF($E21="Paid",$D21*Settings!$B$5,"")</f>
        <v/>
      </c>
      <c r="I21" s="5">
        <f>IF($E21="Paid",$D21*Settings!$B$6,"")</f>
        <v/>
      </c>
      <c r="J21" s="5">
        <f>IF($E21="Paid",$D21*Settings!$B$7,"")</f>
        <v/>
      </c>
      <c r="K21" s="5">
        <f>IF($E21="Paid",$D21*Settings!$B$8,"")</f>
        <v/>
      </c>
      <c r="L21" s="10">
        <f>IF($A21="","",DATE(YEAR($A21),MONTH($A21),1))</f>
        <v/>
      </c>
    </row>
    <row r="22">
      <c r="A22" s="15" t="n"/>
      <c r="B22" s="16" t="n"/>
      <c r="C22" s="16" t="n"/>
      <c r="D22" s="14" t="n"/>
      <c r="E22" s="16" t="n"/>
      <c r="F22" s="16" t="n"/>
      <c r="G22" s="16" t="n"/>
      <c r="H22" s="5">
        <f>IF($E22="Paid",$D22*Settings!$B$5,"")</f>
        <v/>
      </c>
      <c r="I22" s="5">
        <f>IF($E22="Paid",$D22*Settings!$B$6,"")</f>
        <v/>
      </c>
      <c r="J22" s="5">
        <f>IF($E22="Paid",$D22*Settings!$B$7,"")</f>
        <v/>
      </c>
      <c r="K22" s="5">
        <f>IF($E22="Paid",$D22*Settings!$B$8,"")</f>
        <v/>
      </c>
      <c r="L22" s="10">
        <f>IF($A22="","",DATE(YEAR($A22),MONTH($A22),1))</f>
        <v/>
      </c>
    </row>
    <row r="23">
      <c r="A23" s="15" t="n"/>
      <c r="B23" s="16" t="n"/>
      <c r="C23" s="16" t="n"/>
      <c r="D23" s="14" t="n"/>
      <c r="E23" s="16" t="n"/>
      <c r="F23" s="16" t="n"/>
      <c r="G23" s="16" t="n"/>
      <c r="H23" s="5">
        <f>IF($E23="Paid",$D23*Settings!$B$5,"")</f>
        <v/>
      </c>
      <c r="I23" s="5">
        <f>IF($E23="Paid",$D23*Settings!$B$6,"")</f>
        <v/>
      </c>
      <c r="J23" s="5">
        <f>IF($E23="Paid",$D23*Settings!$B$7,"")</f>
        <v/>
      </c>
      <c r="K23" s="5">
        <f>IF($E23="Paid",$D23*Settings!$B$8,"")</f>
        <v/>
      </c>
      <c r="L23" s="10">
        <f>IF($A23="","",DATE(YEAR($A23),MONTH($A23),1))</f>
        <v/>
      </c>
    </row>
    <row r="24">
      <c r="A24" s="15" t="n"/>
      <c r="B24" s="16" t="n"/>
      <c r="C24" s="16" t="n"/>
      <c r="D24" s="14" t="n"/>
      <c r="E24" s="16" t="n"/>
      <c r="F24" s="16" t="n"/>
      <c r="G24" s="16" t="n"/>
      <c r="H24" s="5">
        <f>IF($E24="Paid",$D24*Settings!$B$5,"")</f>
        <v/>
      </c>
      <c r="I24" s="5">
        <f>IF($E24="Paid",$D24*Settings!$B$6,"")</f>
        <v/>
      </c>
      <c r="J24" s="5">
        <f>IF($E24="Paid",$D24*Settings!$B$7,"")</f>
        <v/>
      </c>
      <c r="K24" s="5">
        <f>IF($E24="Paid",$D24*Settings!$B$8,"")</f>
        <v/>
      </c>
      <c r="L24" s="10">
        <f>IF($A24="","",DATE(YEAR($A24),MONTH($A24),1))</f>
        <v/>
      </c>
    </row>
    <row r="25">
      <c r="A25" s="15" t="n"/>
      <c r="B25" s="16" t="n"/>
      <c r="C25" s="16" t="n"/>
      <c r="D25" s="14" t="n"/>
      <c r="E25" s="16" t="n"/>
      <c r="F25" s="16" t="n"/>
      <c r="G25" s="16" t="n"/>
      <c r="H25" s="5">
        <f>IF($E25="Paid",$D25*Settings!$B$5,"")</f>
        <v/>
      </c>
      <c r="I25" s="5">
        <f>IF($E25="Paid",$D25*Settings!$B$6,"")</f>
        <v/>
      </c>
      <c r="J25" s="5">
        <f>IF($E25="Paid",$D25*Settings!$B$7,"")</f>
        <v/>
      </c>
      <c r="K25" s="5">
        <f>IF($E25="Paid",$D25*Settings!$B$8,"")</f>
        <v/>
      </c>
      <c r="L25" s="10">
        <f>IF($A25="","",DATE(YEAR($A25),MONTH($A25),1))</f>
        <v/>
      </c>
    </row>
    <row r="26">
      <c r="A26" s="15" t="n"/>
      <c r="B26" s="16" t="n"/>
      <c r="C26" s="16" t="n"/>
      <c r="D26" s="14" t="n"/>
      <c r="E26" s="16" t="n"/>
      <c r="F26" s="16" t="n"/>
      <c r="G26" s="16" t="n"/>
      <c r="H26" s="5">
        <f>IF($E26="Paid",$D26*Settings!$B$5,"")</f>
        <v/>
      </c>
      <c r="I26" s="5">
        <f>IF($E26="Paid",$D26*Settings!$B$6,"")</f>
        <v/>
      </c>
      <c r="J26" s="5">
        <f>IF($E26="Paid",$D26*Settings!$B$7,"")</f>
        <v/>
      </c>
      <c r="K26" s="5">
        <f>IF($E26="Paid",$D26*Settings!$B$8,"")</f>
        <v/>
      </c>
      <c r="L26" s="10">
        <f>IF($A26="","",DATE(YEAR($A26),MONTH($A26),1))</f>
        <v/>
      </c>
    </row>
    <row r="27">
      <c r="A27" s="15" t="n"/>
      <c r="B27" s="16" t="n"/>
      <c r="C27" s="16" t="n"/>
      <c r="D27" s="14" t="n"/>
      <c r="E27" s="16" t="n"/>
      <c r="F27" s="16" t="n"/>
      <c r="G27" s="16" t="n"/>
      <c r="H27" s="5">
        <f>IF($E27="Paid",$D27*Settings!$B$5,"")</f>
        <v/>
      </c>
      <c r="I27" s="5">
        <f>IF($E27="Paid",$D27*Settings!$B$6,"")</f>
        <v/>
      </c>
      <c r="J27" s="5">
        <f>IF($E27="Paid",$D27*Settings!$B$7,"")</f>
        <v/>
      </c>
      <c r="K27" s="5">
        <f>IF($E27="Paid",$D27*Settings!$B$8,"")</f>
        <v/>
      </c>
      <c r="L27" s="10">
        <f>IF($A27="","",DATE(YEAR($A27),MONTH($A27),1))</f>
        <v/>
      </c>
    </row>
    <row r="28">
      <c r="A28" s="15" t="n"/>
      <c r="B28" s="16" t="n"/>
      <c r="C28" s="16" t="n"/>
      <c r="D28" s="14" t="n"/>
      <c r="E28" s="16" t="n"/>
      <c r="F28" s="16" t="n"/>
      <c r="G28" s="16" t="n"/>
      <c r="H28" s="5">
        <f>IF($E28="Paid",$D28*Settings!$B$5,"")</f>
        <v/>
      </c>
      <c r="I28" s="5">
        <f>IF($E28="Paid",$D28*Settings!$B$6,"")</f>
        <v/>
      </c>
      <c r="J28" s="5">
        <f>IF($E28="Paid",$D28*Settings!$B$7,"")</f>
        <v/>
      </c>
      <c r="K28" s="5">
        <f>IF($E28="Paid",$D28*Settings!$B$8,"")</f>
        <v/>
      </c>
      <c r="L28" s="10">
        <f>IF($A28="","",DATE(YEAR($A28),MONTH($A28),1))</f>
        <v/>
      </c>
    </row>
    <row r="29">
      <c r="A29" s="15" t="n"/>
      <c r="B29" s="16" t="n"/>
      <c r="C29" s="16" t="n"/>
      <c r="D29" s="14" t="n"/>
      <c r="E29" s="16" t="n"/>
      <c r="F29" s="16" t="n"/>
      <c r="G29" s="16" t="n"/>
      <c r="H29" s="5">
        <f>IF($E29="Paid",$D29*Settings!$B$5,"")</f>
        <v/>
      </c>
      <c r="I29" s="5">
        <f>IF($E29="Paid",$D29*Settings!$B$6,"")</f>
        <v/>
      </c>
      <c r="J29" s="5">
        <f>IF($E29="Paid",$D29*Settings!$B$7,"")</f>
        <v/>
      </c>
      <c r="K29" s="5">
        <f>IF($E29="Paid",$D29*Settings!$B$8,"")</f>
        <v/>
      </c>
      <c r="L29" s="10">
        <f>IF($A29="","",DATE(YEAR($A29),MONTH($A29),1))</f>
        <v/>
      </c>
    </row>
    <row r="30">
      <c r="A30" s="15" t="n"/>
      <c r="B30" s="16" t="n"/>
      <c r="C30" s="16" t="n"/>
      <c r="D30" s="14" t="n"/>
      <c r="E30" s="16" t="n"/>
      <c r="F30" s="16" t="n"/>
      <c r="G30" s="16" t="n"/>
      <c r="H30" s="5">
        <f>IF($E30="Paid",$D30*Settings!$B$5,"")</f>
        <v/>
      </c>
      <c r="I30" s="5">
        <f>IF($E30="Paid",$D30*Settings!$B$6,"")</f>
        <v/>
      </c>
      <c r="J30" s="5">
        <f>IF($E30="Paid",$D30*Settings!$B$7,"")</f>
        <v/>
      </c>
      <c r="K30" s="5">
        <f>IF($E30="Paid",$D30*Settings!$B$8,"")</f>
        <v/>
      </c>
      <c r="L30" s="10">
        <f>IF($A30="","",DATE(YEAR($A30),MONTH($A30),1))</f>
        <v/>
      </c>
    </row>
    <row r="31">
      <c r="A31" s="15" t="n"/>
      <c r="B31" s="16" t="n"/>
      <c r="C31" s="16" t="n"/>
      <c r="D31" s="14" t="n"/>
      <c r="E31" s="16" t="n"/>
      <c r="F31" s="16" t="n"/>
      <c r="G31" s="16" t="n"/>
      <c r="H31" s="5">
        <f>IF($E31="Paid",$D31*Settings!$B$5,"")</f>
        <v/>
      </c>
      <c r="I31" s="5">
        <f>IF($E31="Paid",$D31*Settings!$B$6,"")</f>
        <v/>
      </c>
      <c r="J31" s="5">
        <f>IF($E31="Paid",$D31*Settings!$B$7,"")</f>
        <v/>
      </c>
      <c r="K31" s="5">
        <f>IF($E31="Paid",$D31*Settings!$B$8,"")</f>
        <v/>
      </c>
      <c r="L31" s="10">
        <f>IF($A31="","",DATE(YEAR($A31),MONTH($A31),1))</f>
        <v/>
      </c>
    </row>
    <row r="32">
      <c r="A32" s="15" t="n"/>
      <c r="B32" s="16" t="n"/>
      <c r="C32" s="16" t="n"/>
      <c r="D32" s="14" t="n"/>
      <c r="E32" s="16" t="n"/>
      <c r="F32" s="16" t="n"/>
      <c r="G32" s="16" t="n"/>
      <c r="H32" s="5">
        <f>IF($E32="Paid",$D32*Settings!$B$5,"")</f>
        <v/>
      </c>
      <c r="I32" s="5">
        <f>IF($E32="Paid",$D32*Settings!$B$6,"")</f>
        <v/>
      </c>
      <c r="J32" s="5">
        <f>IF($E32="Paid",$D32*Settings!$B$7,"")</f>
        <v/>
      </c>
      <c r="K32" s="5">
        <f>IF($E32="Paid",$D32*Settings!$B$8,"")</f>
        <v/>
      </c>
      <c r="L32" s="10">
        <f>IF($A32="","",DATE(YEAR($A32),MONTH($A32),1))</f>
        <v/>
      </c>
    </row>
    <row r="33">
      <c r="A33" s="15" t="n"/>
      <c r="B33" s="16" t="n"/>
      <c r="C33" s="16" t="n"/>
      <c r="D33" s="14" t="n"/>
      <c r="E33" s="16" t="n"/>
      <c r="F33" s="16" t="n"/>
      <c r="G33" s="16" t="n"/>
      <c r="H33" s="5">
        <f>IF($E33="Paid",$D33*Settings!$B$5,"")</f>
        <v/>
      </c>
      <c r="I33" s="5">
        <f>IF($E33="Paid",$D33*Settings!$B$6,"")</f>
        <v/>
      </c>
      <c r="J33" s="5">
        <f>IF($E33="Paid",$D33*Settings!$B$7,"")</f>
        <v/>
      </c>
      <c r="K33" s="5">
        <f>IF($E33="Paid",$D33*Settings!$B$8,"")</f>
        <v/>
      </c>
      <c r="L33" s="10">
        <f>IF($A33="","",DATE(YEAR($A33),MONTH($A33),1))</f>
        <v/>
      </c>
    </row>
    <row r="34">
      <c r="A34" s="15" t="n"/>
      <c r="B34" s="16" t="n"/>
      <c r="C34" s="16" t="n"/>
      <c r="D34" s="14" t="n"/>
      <c r="E34" s="16" t="n"/>
      <c r="F34" s="16" t="n"/>
      <c r="G34" s="16" t="n"/>
      <c r="H34" s="5">
        <f>IF($E34="Paid",$D34*Settings!$B$5,"")</f>
        <v/>
      </c>
      <c r="I34" s="5">
        <f>IF($E34="Paid",$D34*Settings!$B$6,"")</f>
        <v/>
      </c>
      <c r="J34" s="5">
        <f>IF($E34="Paid",$D34*Settings!$B$7,"")</f>
        <v/>
      </c>
      <c r="K34" s="5">
        <f>IF($E34="Paid",$D34*Settings!$B$8,"")</f>
        <v/>
      </c>
      <c r="L34" s="10">
        <f>IF($A34="","",DATE(YEAR($A34),MONTH($A34),1))</f>
        <v/>
      </c>
    </row>
    <row r="35">
      <c r="A35" s="15" t="n"/>
      <c r="B35" s="16" t="n"/>
      <c r="C35" s="16" t="n"/>
      <c r="D35" s="14" t="n"/>
      <c r="E35" s="16" t="n"/>
      <c r="F35" s="16" t="n"/>
      <c r="G35" s="16" t="n"/>
      <c r="H35" s="5">
        <f>IF($E35="Paid",$D35*Settings!$B$5,"")</f>
        <v/>
      </c>
      <c r="I35" s="5">
        <f>IF($E35="Paid",$D35*Settings!$B$6,"")</f>
        <v/>
      </c>
      <c r="J35" s="5">
        <f>IF($E35="Paid",$D35*Settings!$B$7,"")</f>
        <v/>
      </c>
      <c r="K35" s="5">
        <f>IF($E35="Paid",$D35*Settings!$B$8,"")</f>
        <v/>
      </c>
      <c r="L35" s="10">
        <f>IF($A35="","",DATE(YEAR($A35),MONTH($A35),1))</f>
        <v/>
      </c>
    </row>
    <row r="36">
      <c r="A36" s="15" t="n"/>
      <c r="B36" s="16" t="n"/>
      <c r="C36" s="16" t="n"/>
      <c r="D36" s="14" t="n"/>
      <c r="E36" s="16" t="n"/>
      <c r="F36" s="16" t="n"/>
      <c r="G36" s="16" t="n"/>
      <c r="H36" s="5">
        <f>IF($E36="Paid",$D36*Settings!$B$5,"")</f>
        <v/>
      </c>
      <c r="I36" s="5">
        <f>IF($E36="Paid",$D36*Settings!$B$6,"")</f>
        <v/>
      </c>
      <c r="J36" s="5">
        <f>IF($E36="Paid",$D36*Settings!$B$7,"")</f>
        <v/>
      </c>
      <c r="K36" s="5">
        <f>IF($E36="Paid",$D36*Settings!$B$8,"")</f>
        <v/>
      </c>
      <c r="L36" s="10">
        <f>IF($A36="","",DATE(YEAR($A36),MONTH($A36),1))</f>
        <v/>
      </c>
    </row>
    <row r="37">
      <c r="A37" s="15" t="n"/>
      <c r="B37" s="16" t="n"/>
      <c r="C37" s="16" t="n"/>
      <c r="D37" s="14" t="n"/>
      <c r="E37" s="16" t="n"/>
      <c r="F37" s="16" t="n"/>
      <c r="G37" s="16" t="n"/>
      <c r="H37" s="5">
        <f>IF($E37="Paid",$D37*Settings!$B$5,"")</f>
        <v/>
      </c>
      <c r="I37" s="5">
        <f>IF($E37="Paid",$D37*Settings!$B$6,"")</f>
        <v/>
      </c>
      <c r="J37" s="5">
        <f>IF($E37="Paid",$D37*Settings!$B$7,"")</f>
        <v/>
      </c>
      <c r="K37" s="5">
        <f>IF($E37="Paid",$D37*Settings!$B$8,"")</f>
        <v/>
      </c>
      <c r="L37" s="10">
        <f>IF($A37="","",DATE(YEAR($A37),MONTH($A37),1))</f>
        <v/>
      </c>
    </row>
    <row r="38">
      <c r="A38" s="15" t="n"/>
      <c r="B38" s="16" t="n"/>
      <c r="C38" s="16" t="n"/>
      <c r="D38" s="14" t="n"/>
      <c r="E38" s="16" t="n"/>
      <c r="F38" s="16" t="n"/>
      <c r="G38" s="16" t="n"/>
      <c r="H38" s="5">
        <f>IF($E38="Paid",$D38*Settings!$B$5,"")</f>
        <v/>
      </c>
      <c r="I38" s="5">
        <f>IF($E38="Paid",$D38*Settings!$B$6,"")</f>
        <v/>
      </c>
      <c r="J38" s="5">
        <f>IF($E38="Paid",$D38*Settings!$B$7,"")</f>
        <v/>
      </c>
      <c r="K38" s="5">
        <f>IF($E38="Paid",$D38*Settings!$B$8,"")</f>
        <v/>
      </c>
      <c r="L38" s="10">
        <f>IF($A38="","",DATE(YEAR($A38),MONTH($A38),1))</f>
        <v/>
      </c>
    </row>
    <row r="39">
      <c r="A39" s="15" t="n"/>
      <c r="B39" s="16" t="n"/>
      <c r="C39" s="16" t="n"/>
      <c r="D39" s="14" t="n"/>
      <c r="E39" s="16" t="n"/>
      <c r="F39" s="16" t="n"/>
      <c r="G39" s="16" t="n"/>
      <c r="H39" s="5">
        <f>IF($E39="Paid",$D39*Settings!$B$5,"")</f>
        <v/>
      </c>
      <c r="I39" s="5">
        <f>IF($E39="Paid",$D39*Settings!$B$6,"")</f>
        <v/>
      </c>
      <c r="J39" s="5">
        <f>IF($E39="Paid",$D39*Settings!$B$7,"")</f>
        <v/>
      </c>
      <c r="K39" s="5">
        <f>IF($E39="Paid",$D39*Settings!$B$8,"")</f>
        <v/>
      </c>
      <c r="L39" s="10">
        <f>IF($A39="","",DATE(YEAR($A39),MONTH($A39),1))</f>
        <v/>
      </c>
    </row>
    <row r="40">
      <c r="A40" s="15" t="n"/>
      <c r="B40" s="16" t="n"/>
      <c r="C40" s="16" t="n"/>
      <c r="D40" s="14" t="n"/>
      <c r="E40" s="16" t="n"/>
      <c r="F40" s="16" t="n"/>
      <c r="G40" s="16" t="n"/>
      <c r="H40" s="5">
        <f>IF($E40="Paid",$D40*Settings!$B$5,"")</f>
        <v/>
      </c>
      <c r="I40" s="5">
        <f>IF($E40="Paid",$D40*Settings!$B$6,"")</f>
        <v/>
      </c>
      <c r="J40" s="5">
        <f>IF($E40="Paid",$D40*Settings!$B$7,"")</f>
        <v/>
      </c>
      <c r="K40" s="5">
        <f>IF($E40="Paid",$D40*Settings!$B$8,"")</f>
        <v/>
      </c>
      <c r="L40" s="10">
        <f>IF($A40="","",DATE(YEAR($A40),MONTH($A40),1))</f>
        <v/>
      </c>
    </row>
    <row r="41">
      <c r="A41" s="15" t="n"/>
      <c r="B41" s="16" t="n"/>
      <c r="C41" s="16" t="n"/>
      <c r="D41" s="14" t="n"/>
      <c r="E41" s="16" t="n"/>
      <c r="F41" s="16" t="n"/>
      <c r="G41" s="16" t="n"/>
      <c r="H41" s="5">
        <f>IF($E41="Paid",$D41*Settings!$B$5,"")</f>
        <v/>
      </c>
      <c r="I41" s="5">
        <f>IF($E41="Paid",$D41*Settings!$B$6,"")</f>
        <v/>
      </c>
      <c r="J41" s="5">
        <f>IF($E41="Paid",$D41*Settings!$B$7,"")</f>
        <v/>
      </c>
      <c r="K41" s="5">
        <f>IF($E41="Paid",$D41*Settings!$B$8,"")</f>
        <v/>
      </c>
      <c r="L41" s="10">
        <f>IF($A41="","",DATE(YEAR($A41),MONTH($A41),1))</f>
        <v/>
      </c>
    </row>
    <row r="42">
      <c r="A42" s="15" t="n"/>
      <c r="B42" s="16" t="n"/>
      <c r="C42" s="16" t="n"/>
      <c r="D42" s="14" t="n"/>
      <c r="E42" s="16" t="n"/>
      <c r="F42" s="16" t="n"/>
      <c r="G42" s="16" t="n"/>
      <c r="H42" s="5">
        <f>IF($E42="Paid",$D42*Settings!$B$5,"")</f>
        <v/>
      </c>
      <c r="I42" s="5">
        <f>IF($E42="Paid",$D42*Settings!$B$6,"")</f>
        <v/>
      </c>
      <c r="J42" s="5">
        <f>IF($E42="Paid",$D42*Settings!$B$7,"")</f>
        <v/>
      </c>
      <c r="K42" s="5">
        <f>IF($E42="Paid",$D42*Settings!$B$8,"")</f>
        <v/>
      </c>
      <c r="L42" s="10">
        <f>IF($A42="","",DATE(YEAR($A42),MONTH($A42),1))</f>
        <v/>
      </c>
    </row>
    <row r="43">
      <c r="A43" s="15" t="n"/>
      <c r="B43" s="16" t="n"/>
      <c r="C43" s="16" t="n"/>
      <c r="D43" s="14" t="n"/>
      <c r="E43" s="16" t="n"/>
      <c r="F43" s="16" t="n"/>
      <c r="G43" s="16" t="n"/>
      <c r="H43" s="5">
        <f>IF($E43="Paid",$D43*Settings!$B$5,"")</f>
        <v/>
      </c>
      <c r="I43" s="5">
        <f>IF($E43="Paid",$D43*Settings!$B$6,"")</f>
        <v/>
      </c>
      <c r="J43" s="5">
        <f>IF($E43="Paid",$D43*Settings!$B$7,"")</f>
        <v/>
      </c>
      <c r="K43" s="5">
        <f>IF($E43="Paid",$D43*Settings!$B$8,"")</f>
        <v/>
      </c>
      <c r="L43" s="10">
        <f>IF($A43="","",DATE(YEAR($A43),MONTH($A43),1))</f>
        <v/>
      </c>
    </row>
    <row r="44">
      <c r="A44" s="15" t="n"/>
      <c r="B44" s="16" t="n"/>
      <c r="C44" s="16" t="n"/>
      <c r="D44" s="14" t="n"/>
      <c r="E44" s="16" t="n"/>
      <c r="F44" s="16" t="n"/>
      <c r="G44" s="16" t="n"/>
      <c r="H44" s="5">
        <f>IF($E44="Paid",$D44*Settings!$B$5,"")</f>
        <v/>
      </c>
      <c r="I44" s="5">
        <f>IF($E44="Paid",$D44*Settings!$B$6,"")</f>
        <v/>
      </c>
      <c r="J44" s="5">
        <f>IF($E44="Paid",$D44*Settings!$B$7,"")</f>
        <v/>
      </c>
      <c r="K44" s="5">
        <f>IF($E44="Paid",$D44*Settings!$B$8,"")</f>
        <v/>
      </c>
      <c r="L44" s="10">
        <f>IF($A44="","",DATE(YEAR($A44),MONTH($A44),1))</f>
        <v/>
      </c>
    </row>
    <row r="45">
      <c r="A45" s="15" t="n"/>
      <c r="B45" s="16" t="n"/>
      <c r="C45" s="16" t="n"/>
      <c r="D45" s="14" t="n"/>
      <c r="E45" s="16" t="n"/>
      <c r="F45" s="16" t="n"/>
      <c r="G45" s="16" t="n"/>
      <c r="H45" s="5">
        <f>IF($E45="Paid",$D45*Settings!$B$5,"")</f>
        <v/>
      </c>
      <c r="I45" s="5">
        <f>IF($E45="Paid",$D45*Settings!$B$6,"")</f>
        <v/>
      </c>
      <c r="J45" s="5">
        <f>IF($E45="Paid",$D45*Settings!$B$7,"")</f>
        <v/>
      </c>
      <c r="K45" s="5">
        <f>IF($E45="Paid",$D45*Settings!$B$8,"")</f>
        <v/>
      </c>
      <c r="L45" s="10">
        <f>IF($A45="","",DATE(YEAR($A45),MONTH($A45),1))</f>
        <v/>
      </c>
    </row>
    <row r="46">
      <c r="A46" s="15" t="n"/>
      <c r="B46" s="16" t="n"/>
      <c r="C46" s="16" t="n"/>
      <c r="D46" s="14" t="n"/>
      <c r="E46" s="16" t="n"/>
      <c r="F46" s="16" t="n"/>
      <c r="G46" s="16" t="n"/>
      <c r="H46" s="5">
        <f>IF($E46="Paid",$D46*Settings!$B$5,"")</f>
        <v/>
      </c>
      <c r="I46" s="5">
        <f>IF($E46="Paid",$D46*Settings!$B$6,"")</f>
        <v/>
      </c>
      <c r="J46" s="5">
        <f>IF($E46="Paid",$D46*Settings!$B$7,"")</f>
        <v/>
      </c>
      <c r="K46" s="5">
        <f>IF($E46="Paid",$D46*Settings!$B$8,"")</f>
        <v/>
      </c>
      <c r="L46" s="10">
        <f>IF($A46="","",DATE(YEAR($A46),MONTH($A46),1))</f>
        <v/>
      </c>
    </row>
    <row r="47">
      <c r="A47" s="15" t="n"/>
      <c r="B47" s="16" t="n"/>
      <c r="C47" s="16" t="n"/>
      <c r="D47" s="14" t="n"/>
      <c r="E47" s="16" t="n"/>
      <c r="F47" s="16" t="n"/>
      <c r="G47" s="16" t="n"/>
      <c r="H47" s="5">
        <f>IF($E47="Paid",$D47*Settings!$B$5,"")</f>
        <v/>
      </c>
      <c r="I47" s="5">
        <f>IF($E47="Paid",$D47*Settings!$B$6,"")</f>
        <v/>
      </c>
      <c r="J47" s="5">
        <f>IF($E47="Paid",$D47*Settings!$B$7,"")</f>
        <v/>
      </c>
      <c r="K47" s="5">
        <f>IF($E47="Paid",$D47*Settings!$B$8,"")</f>
        <v/>
      </c>
      <c r="L47" s="10">
        <f>IF($A47="","",DATE(YEAR($A47),MONTH($A47),1))</f>
        <v/>
      </c>
    </row>
    <row r="48">
      <c r="A48" s="15" t="n"/>
      <c r="B48" s="16" t="n"/>
      <c r="C48" s="16" t="n"/>
      <c r="D48" s="14" t="n"/>
      <c r="E48" s="16" t="n"/>
      <c r="F48" s="16" t="n"/>
      <c r="G48" s="16" t="n"/>
      <c r="H48" s="5">
        <f>IF($E48="Paid",$D48*Settings!$B$5,"")</f>
        <v/>
      </c>
      <c r="I48" s="5">
        <f>IF($E48="Paid",$D48*Settings!$B$6,"")</f>
        <v/>
      </c>
      <c r="J48" s="5">
        <f>IF($E48="Paid",$D48*Settings!$B$7,"")</f>
        <v/>
      </c>
      <c r="K48" s="5">
        <f>IF($E48="Paid",$D48*Settings!$B$8,"")</f>
        <v/>
      </c>
      <c r="L48" s="10">
        <f>IF($A48="","",DATE(YEAR($A48),MONTH($A48),1))</f>
        <v/>
      </c>
    </row>
    <row r="49">
      <c r="A49" s="15" t="n"/>
      <c r="B49" s="16" t="n"/>
      <c r="C49" s="16" t="n"/>
      <c r="D49" s="14" t="n"/>
      <c r="E49" s="16" t="n"/>
      <c r="F49" s="16" t="n"/>
      <c r="G49" s="16" t="n"/>
      <c r="H49" s="5">
        <f>IF($E49="Paid",$D49*Settings!$B$5,"")</f>
        <v/>
      </c>
      <c r="I49" s="5">
        <f>IF($E49="Paid",$D49*Settings!$B$6,"")</f>
        <v/>
      </c>
      <c r="J49" s="5">
        <f>IF($E49="Paid",$D49*Settings!$B$7,"")</f>
        <v/>
      </c>
      <c r="K49" s="5">
        <f>IF($E49="Paid",$D49*Settings!$B$8,"")</f>
        <v/>
      </c>
      <c r="L49" s="10">
        <f>IF($A49="","",DATE(YEAR($A49),MONTH($A49),1))</f>
        <v/>
      </c>
    </row>
    <row r="50">
      <c r="A50" s="15" t="n"/>
      <c r="B50" s="16" t="n"/>
      <c r="C50" s="16" t="n"/>
      <c r="D50" s="14" t="n"/>
      <c r="E50" s="16" t="n"/>
      <c r="F50" s="16" t="n"/>
      <c r="G50" s="16" t="n"/>
      <c r="H50" s="5">
        <f>IF($E50="Paid",$D50*Settings!$B$5,"")</f>
        <v/>
      </c>
      <c r="I50" s="5">
        <f>IF($E50="Paid",$D50*Settings!$B$6,"")</f>
        <v/>
      </c>
      <c r="J50" s="5">
        <f>IF($E50="Paid",$D50*Settings!$B$7,"")</f>
        <v/>
      </c>
      <c r="K50" s="5">
        <f>IF($E50="Paid",$D50*Settings!$B$8,"")</f>
        <v/>
      </c>
      <c r="L50" s="10">
        <f>IF($A50="","",DATE(YEAR($A50),MONTH($A50),1))</f>
        <v/>
      </c>
    </row>
    <row r="51">
      <c r="A51" s="15" t="n"/>
      <c r="B51" s="16" t="n"/>
      <c r="C51" s="16" t="n"/>
      <c r="D51" s="14" t="n"/>
      <c r="E51" s="16" t="n"/>
      <c r="F51" s="16" t="n"/>
      <c r="G51" s="16" t="n"/>
      <c r="H51" s="5">
        <f>IF($E51="Paid",$D51*Settings!$B$5,"")</f>
        <v/>
      </c>
      <c r="I51" s="5">
        <f>IF($E51="Paid",$D51*Settings!$B$6,"")</f>
        <v/>
      </c>
      <c r="J51" s="5">
        <f>IF($E51="Paid",$D51*Settings!$B$7,"")</f>
        <v/>
      </c>
      <c r="K51" s="5">
        <f>IF($E51="Paid",$D51*Settings!$B$8,"")</f>
        <v/>
      </c>
      <c r="L51" s="10">
        <f>IF($A51="","",DATE(YEAR($A51),MONTH($A51),1))</f>
        <v/>
      </c>
    </row>
    <row r="52">
      <c r="A52" s="15" t="n"/>
      <c r="B52" s="16" t="n"/>
      <c r="C52" s="16" t="n"/>
      <c r="D52" s="14" t="n"/>
      <c r="E52" s="16" t="n"/>
      <c r="F52" s="16" t="n"/>
      <c r="G52" s="16" t="n"/>
      <c r="H52" s="5">
        <f>IF($E52="Paid",$D52*Settings!$B$5,"")</f>
        <v/>
      </c>
      <c r="I52" s="5">
        <f>IF($E52="Paid",$D52*Settings!$B$6,"")</f>
        <v/>
      </c>
      <c r="J52" s="5">
        <f>IF($E52="Paid",$D52*Settings!$B$7,"")</f>
        <v/>
      </c>
      <c r="K52" s="5">
        <f>IF($E52="Paid",$D52*Settings!$B$8,"")</f>
        <v/>
      </c>
      <c r="L52" s="10">
        <f>IF($A52="","",DATE(YEAR($A52),MONTH($A52),1))</f>
        <v/>
      </c>
    </row>
    <row r="53">
      <c r="A53" s="15" t="n"/>
      <c r="B53" s="16" t="n"/>
      <c r="C53" s="16" t="n"/>
      <c r="D53" s="14" t="n"/>
      <c r="E53" s="16" t="n"/>
      <c r="F53" s="16" t="n"/>
      <c r="G53" s="16" t="n"/>
      <c r="H53" s="5">
        <f>IF($E53="Paid",$D53*Settings!$B$5,"")</f>
        <v/>
      </c>
      <c r="I53" s="5">
        <f>IF($E53="Paid",$D53*Settings!$B$6,"")</f>
        <v/>
      </c>
      <c r="J53" s="5">
        <f>IF($E53="Paid",$D53*Settings!$B$7,"")</f>
        <v/>
      </c>
      <c r="K53" s="5">
        <f>IF($E53="Paid",$D53*Settings!$B$8,"")</f>
        <v/>
      </c>
      <c r="L53" s="10">
        <f>IF($A53="","",DATE(YEAR($A53),MONTH($A53),1))</f>
        <v/>
      </c>
    </row>
    <row r="54">
      <c r="A54" s="15" t="n"/>
      <c r="B54" s="16" t="n"/>
      <c r="C54" s="16" t="n"/>
      <c r="D54" s="14" t="n"/>
      <c r="E54" s="16" t="n"/>
      <c r="F54" s="16" t="n"/>
      <c r="G54" s="16" t="n"/>
      <c r="H54" s="5">
        <f>IF($E54="Paid",$D54*Settings!$B$5,"")</f>
        <v/>
      </c>
      <c r="I54" s="5">
        <f>IF($E54="Paid",$D54*Settings!$B$6,"")</f>
        <v/>
      </c>
      <c r="J54" s="5">
        <f>IF($E54="Paid",$D54*Settings!$B$7,"")</f>
        <v/>
      </c>
      <c r="K54" s="5">
        <f>IF($E54="Paid",$D54*Settings!$B$8,"")</f>
        <v/>
      </c>
      <c r="L54" s="10">
        <f>IF($A54="","",DATE(YEAR($A54),MONTH($A54),1))</f>
        <v/>
      </c>
    </row>
    <row r="55">
      <c r="A55" s="15" t="n"/>
      <c r="B55" s="16" t="n"/>
      <c r="C55" s="16" t="n"/>
      <c r="D55" s="14" t="n"/>
      <c r="E55" s="16" t="n"/>
      <c r="F55" s="16" t="n"/>
      <c r="G55" s="16" t="n"/>
      <c r="H55" s="5">
        <f>IF($E55="Paid",$D55*Settings!$B$5,"")</f>
        <v/>
      </c>
      <c r="I55" s="5">
        <f>IF($E55="Paid",$D55*Settings!$B$6,"")</f>
        <v/>
      </c>
      <c r="J55" s="5">
        <f>IF($E55="Paid",$D55*Settings!$B$7,"")</f>
        <v/>
      </c>
      <c r="K55" s="5">
        <f>IF($E55="Paid",$D55*Settings!$B$8,"")</f>
        <v/>
      </c>
      <c r="L55" s="10">
        <f>IF($A55="","",DATE(YEAR($A55),MONTH($A55),1))</f>
        <v/>
      </c>
    </row>
    <row r="56">
      <c r="A56" s="15" t="n"/>
      <c r="B56" s="16" t="n"/>
      <c r="C56" s="16" t="n"/>
      <c r="D56" s="14" t="n"/>
      <c r="E56" s="16" t="n"/>
      <c r="F56" s="16" t="n"/>
      <c r="G56" s="16" t="n"/>
      <c r="H56" s="5">
        <f>IF($E56="Paid",$D56*Settings!$B$5,"")</f>
        <v/>
      </c>
      <c r="I56" s="5">
        <f>IF($E56="Paid",$D56*Settings!$B$6,"")</f>
        <v/>
      </c>
      <c r="J56" s="5">
        <f>IF($E56="Paid",$D56*Settings!$B$7,"")</f>
        <v/>
      </c>
      <c r="K56" s="5">
        <f>IF($E56="Paid",$D56*Settings!$B$8,"")</f>
        <v/>
      </c>
      <c r="L56" s="10">
        <f>IF($A56="","",DATE(YEAR($A56),MONTH($A56),1))</f>
        <v/>
      </c>
    </row>
    <row r="57">
      <c r="A57" s="15" t="n"/>
      <c r="B57" s="16" t="n"/>
      <c r="C57" s="16" t="n"/>
      <c r="D57" s="14" t="n"/>
      <c r="E57" s="16" t="n"/>
      <c r="F57" s="16" t="n"/>
      <c r="G57" s="16" t="n"/>
      <c r="H57" s="5">
        <f>IF($E57="Paid",$D57*Settings!$B$5,"")</f>
        <v/>
      </c>
      <c r="I57" s="5">
        <f>IF($E57="Paid",$D57*Settings!$B$6,"")</f>
        <v/>
      </c>
      <c r="J57" s="5">
        <f>IF($E57="Paid",$D57*Settings!$B$7,"")</f>
        <v/>
      </c>
      <c r="K57" s="5">
        <f>IF($E57="Paid",$D57*Settings!$B$8,"")</f>
        <v/>
      </c>
      <c r="L57" s="10">
        <f>IF($A57="","",DATE(YEAR($A57),MONTH($A57),1))</f>
        <v/>
      </c>
    </row>
    <row r="58">
      <c r="A58" s="15" t="n"/>
      <c r="B58" s="16" t="n"/>
      <c r="C58" s="16" t="n"/>
      <c r="D58" s="14" t="n"/>
      <c r="E58" s="16" t="n"/>
      <c r="F58" s="16" t="n"/>
      <c r="G58" s="16" t="n"/>
      <c r="H58" s="5">
        <f>IF($E58="Paid",$D58*Settings!$B$5,"")</f>
        <v/>
      </c>
      <c r="I58" s="5">
        <f>IF($E58="Paid",$D58*Settings!$B$6,"")</f>
        <v/>
      </c>
      <c r="J58" s="5">
        <f>IF($E58="Paid",$D58*Settings!$B$7,"")</f>
        <v/>
      </c>
      <c r="K58" s="5">
        <f>IF($E58="Paid",$D58*Settings!$B$8,"")</f>
        <v/>
      </c>
      <c r="L58" s="10">
        <f>IF($A58="","",DATE(YEAR($A58),MONTH($A58),1))</f>
        <v/>
      </c>
    </row>
    <row r="59">
      <c r="A59" s="15" t="n"/>
      <c r="B59" s="16" t="n"/>
      <c r="C59" s="16" t="n"/>
      <c r="D59" s="14" t="n"/>
      <c r="E59" s="16" t="n"/>
      <c r="F59" s="16" t="n"/>
      <c r="G59" s="16" t="n"/>
      <c r="H59" s="5">
        <f>IF($E59="Paid",$D59*Settings!$B$5,"")</f>
        <v/>
      </c>
      <c r="I59" s="5">
        <f>IF($E59="Paid",$D59*Settings!$B$6,"")</f>
        <v/>
      </c>
      <c r="J59" s="5">
        <f>IF($E59="Paid",$D59*Settings!$B$7,"")</f>
        <v/>
      </c>
      <c r="K59" s="5">
        <f>IF($E59="Paid",$D59*Settings!$B$8,"")</f>
        <v/>
      </c>
      <c r="L59" s="10">
        <f>IF($A59="","",DATE(YEAR($A59),MONTH($A59),1))</f>
        <v/>
      </c>
    </row>
    <row r="60">
      <c r="A60" s="15" t="n"/>
      <c r="B60" s="16" t="n"/>
      <c r="C60" s="16" t="n"/>
      <c r="D60" s="14" t="n"/>
      <c r="E60" s="16" t="n"/>
      <c r="F60" s="16" t="n"/>
      <c r="G60" s="16" t="n"/>
      <c r="H60" s="5">
        <f>IF($E60="Paid",$D60*Settings!$B$5,"")</f>
        <v/>
      </c>
      <c r="I60" s="5">
        <f>IF($E60="Paid",$D60*Settings!$B$6,"")</f>
        <v/>
      </c>
      <c r="J60" s="5">
        <f>IF($E60="Paid",$D60*Settings!$B$7,"")</f>
        <v/>
      </c>
      <c r="K60" s="5">
        <f>IF($E60="Paid",$D60*Settings!$B$8,"")</f>
        <v/>
      </c>
      <c r="L60" s="10">
        <f>IF($A60="","",DATE(YEAR($A60),MONTH($A60),1))</f>
        <v/>
      </c>
    </row>
    <row r="61">
      <c r="A61" s="15" t="n"/>
      <c r="B61" s="16" t="n"/>
      <c r="C61" s="16" t="n"/>
      <c r="D61" s="14" t="n"/>
      <c r="E61" s="16" t="n"/>
      <c r="F61" s="16" t="n"/>
      <c r="G61" s="16" t="n"/>
      <c r="H61" s="5">
        <f>IF($E61="Paid",$D61*Settings!$B$5,"")</f>
        <v/>
      </c>
      <c r="I61" s="5">
        <f>IF($E61="Paid",$D61*Settings!$B$6,"")</f>
        <v/>
      </c>
      <c r="J61" s="5">
        <f>IF($E61="Paid",$D61*Settings!$B$7,"")</f>
        <v/>
      </c>
      <c r="K61" s="5">
        <f>IF($E61="Paid",$D61*Settings!$B$8,"")</f>
        <v/>
      </c>
      <c r="L61" s="10">
        <f>IF($A61="","",DATE(YEAR($A61),MONTH($A61),1))</f>
        <v/>
      </c>
    </row>
    <row r="62">
      <c r="A62" s="15" t="n"/>
      <c r="B62" s="16" t="n"/>
      <c r="C62" s="16" t="n"/>
      <c r="D62" s="14" t="n"/>
      <c r="E62" s="16" t="n"/>
      <c r="F62" s="16" t="n"/>
      <c r="G62" s="16" t="n"/>
      <c r="H62" s="5">
        <f>IF($E62="Paid",$D62*Settings!$B$5,"")</f>
        <v/>
      </c>
      <c r="I62" s="5">
        <f>IF($E62="Paid",$D62*Settings!$B$6,"")</f>
        <v/>
      </c>
      <c r="J62" s="5">
        <f>IF($E62="Paid",$D62*Settings!$B$7,"")</f>
        <v/>
      </c>
      <c r="K62" s="5">
        <f>IF($E62="Paid",$D62*Settings!$B$8,"")</f>
        <v/>
      </c>
      <c r="L62" s="10">
        <f>IF($A62="","",DATE(YEAR($A62),MONTH($A62),1))</f>
        <v/>
      </c>
    </row>
    <row r="63">
      <c r="A63" s="15" t="n"/>
      <c r="B63" s="16" t="n"/>
      <c r="C63" s="16" t="n"/>
      <c r="D63" s="14" t="n"/>
      <c r="E63" s="16" t="n"/>
      <c r="F63" s="16" t="n"/>
      <c r="G63" s="16" t="n"/>
      <c r="H63" s="5">
        <f>IF($E63="Paid",$D63*Settings!$B$5,"")</f>
        <v/>
      </c>
      <c r="I63" s="5">
        <f>IF($E63="Paid",$D63*Settings!$B$6,"")</f>
        <v/>
      </c>
      <c r="J63" s="5">
        <f>IF($E63="Paid",$D63*Settings!$B$7,"")</f>
        <v/>
      </c>
      <c r="K63" s="5">
        <f>IF($E63="Paid",$D63*Settings!$B$8,"")</f>
        <v/>
      </c>
      <c r="L63" s="10">
        <f>IF($A63="","",DATE(YEAR($A63),MONTH($A63),1))</f>
        <v/>
      </c>
    </row>
    <row r="64">
      <c r="A64" s="15" t="n"/>
      <c r="B64" s="16" t="n"/>
      <c r="C64" s="16" t="n"/>
      <c r="D64" s="14" t="n"/>
      <c r="E64" s="16" t="n"/>
      <c r="F64" s="16" t="n"/>
      <c r="G64" s="16" t="n"/>
      <c r="H64" s="5">
        <f>IF($E64="Paid",$D64*Settings!$B$5,"")</f>
        <v/>
      </c>
      <c r="I64" s="5">
        <f>IF($E64="Paid",$D64*Settings!$B$6,"")</f>
        <v/>
      </c>
      <c r="J64" s="5">
        <f>IF($E64="Paid",$D64*Settings!$B$7,"")</f>
        <v/>
      </c>
      <c r="K64" s="5">
        <f>IF($E64="Paid",$D64*Settings!$B$8,"")</f>
        <v/>
      </c>
      <c r="L64" s="10">
        <f>IF($A64="","",DATE(YEAR($A64),MONTH($A64),1))</f>
        <v/>
      </c>
    </row>
    <row r="65">
      <c r="A65" s="15" t="n"/>
      <c r="B65" s="16" t="n"/>
      <c r="C65" s="16" t="n"/>
      <c r="D65" s="14" t="n"/>
      <c r="E65" s="16" t="n"/>
      <c r="F65" s="16" t="n"/>
      <c r="G65" s="16" t="n"/>
      <c r="H65" s="5">
        <f>IF($E65="Paid",$D65*Settings!$B$5,"")</f>
        <v/>
      </c>
      <c r="I65" s="5">
        <f>IF($E65="Paid",$D65*Settings!$B$6,"")</f>
        <v/>
      </c>
      <c r="J65" s="5">
        <f>IF($E65="Paid",$D65*Settings!$B$7,"")</f>
        <v/>
      </c>
      <c r="K65" s="5">
        <f>IF($E65="Paid",$D65*Settings!$B$8,"")</f>
        <v/>
      </c>
      <c r="L65" s="10">
        <f>IF($A65="","",DATE(YEAR($A65),MONTH($A65),1))</f>
        <v/>
      </c>
    </row>
    <row r="66">
      <c r="A66" s="15" t="n"/>
      <c r="B66" s="16" t="n"/>
      <c r="C66" s="16" t="n"/>
      <c r="D66" s="14" t="n"/>
      <c r="E66" s="16" t="n"/>
      <c r="F66" s="16" t="n"/>
      <c r="G66" s="16" t="n"/>
      <c r="H66" s="5">
        <f>IF($E66="Paid",$D66*Settings!$B$5,"")</f>
        <v/>
      </c>
      <c r="I66" s="5">
        <f>IF($E66="Paid",$D66*Settings!$B$6,"")</f>
        <v/>
      </c>
      <c r="J66" s="5">
        <f>IF($E66="Paid",$D66*Settings!$B$7,"")</f>
        <v/>
      </c>
      <c r="K66" s="5">
        <f>IF($E66="Paid",$D66*Settings!$B$8,"")</f>
        <v/>
      </c>
      <c r="L66" s="10">
        <f>IF($A66="","",DATE(YEAR($A66),MONTH($A66),1))</f>
        <v/>
      </c>
    </row>
    <row r="67">
      <c r="A67" s="15" t="n"/>
      <c r="B67" s="16" t="n"/>
      <c r="C67" s="16" t="n"/>
      <c r="D67" s="14" t="n"/>
      <c r="E67" s="16" t="n"/>
      <c r="F67" s="16" t="n"/>
      <c r="G67" s="16" t="n"/>
      <c r="H67" s="5">
        <f>IF($E67="Paid",$D67*Settings!$B$5,"")</f>
        <v/>
      </c>
      <c r="I67" s="5">
        <f>IF($E67="Paid",$D67*Settings!$B$6,"")</f>
        <v/>
      </c>
      <c r="J67" s="5">
        <f>IF($E67="Paid",$D67*Settings!$B$7,"")</f>
        <v/>
      </c>
      <c r="K67" s="5">
        <f>IF($E67="Paid",$D67*Settings!$B$8,"")</f>
        <v/>
      </c>
      <c r="L67" s="10">
        <f>IF($A67="","",DATE(YEAR($A67),MONTH($A67),1))</f>
        <v/>
      </c>
    </row>
    <row r="68">
      <c r="A68" s="15" t="n"/>
      <c r="B68" s="16" t="n"/>
      <c r="C68" s="16" t="n"/>
      <c r="D68" s="14" t="n"/>
      <c r="E68" s="16" t="n"/>
      <c r="F68" s="16" t="n"/>
      <c r="G68" s="16" t="n"/>
      <c r="H68" s="5">
        <f>IF($E68="Paid",$D68*Settings!$B$5,"")</f>
        <v/>
      </c>
      <c r="I68" s="5">
        <f>IF($E68="Paid",$D68*Settings!$B$6,"")</f>
        <v/>
      </c>
      <c r="J68" s="5">
        <f>IF($E68="Paid",$D68*Settings!$B$7,"")</f>
        <v/>
      </c>
      <c r="K68" s="5">
        <f>IF($E68="Paid",$D68*Settings!$B$8,"")</f>
        <v/>
      </c>
      <c r="L68" s="10">
        <f>IF($A68="","",DATE(YEAR($A68),MONTH($A68),1))</f>
        <v/>
      </c>
    </row>
    <row r="69">
      <c r="A69" s="15" t="n"/>
      <c r="B69" s="16" t="n"/>
      <c r="C69" s="16" t="n"/>
      <c r="D69" s="14" t="n"/>
      <c r="E69" s="16" t="n"/>
      <c r="F69" s="16" t="n"/>
      <c r="G69" s="16" t="n"/>
      <c r="H69" s="5">
        <f>IF($E69="Paid",$D69*Settings!$B$5,"")</f>
        <v/>
      </c>
      <c r="I69" s="5">
        <f>IF($E69="Paid",$D69*Settings!$B$6,"")</f>
        <v/>
      </c>
      <c r="J69" s="5">
        <f>IF($E69="Paid",$D69*Settings!$B$7,"")</f>
        <v/>
      </c>
      <c r="K69" s="5">
        <f>IF($E69="Paid",$D69*Settings!$B$8,"")</f>
        <v/>
      </c>
      <c r="L69" s="10">
        <f>IF($A69="","",DATE(YEAR($A69),MONTH($A69),1))</f>
        <v/>
      </c>
    </row>
    <row r="70">
      <c r="A70" s="15" t="n"/>
      <c r="B70" s="16" t="n"/>
      <c r="C70" s="16" t="n"/>
      <c r="D70" s="14" t="n"/>
      <c r="E70" s="16" t="n"/>
      <c r="F70" s="16" t="n"/>
      <c r="G70" s="16" t="n"/>
      <c r="H70" s="5">
        <f>IF($E70="Paid",$D70*Settings!$B$5,"")</f>
        <v/>
      </c>
      <c r="I70" s="5">
        <f>IF($E70="Paid",$D70*Settings!$B$6,"")</f>
        <v/>
      </c>
      <c r="J70" s="5">
        <f>IF($E70="Paid",$D70*Settings!$B$7,"")</f>
        <v/>
      </c>
      <c r="K70" s="5">
        <f>IF($E70="Paid",$D70*Settings!$B$8,"")</f>
        <v/>
      </c>
      <c r="L70" s="10">
        <f>IF($A70="","",DATE(YEAR($A70),MONTH($A70),1))</f>
        <v/>
      </c>
    </row>
    <row r="71">
      <c r="A71" s="15" t="n"/>
      <c r="B71" s="16" t="n"/>
      <c r="C71" s="16" t="n"/>
      <c r="D71" s="14" t="n"/>
      <c r="E71" s="16" t="n"/>
      <c r="F71" s="16" t="n"/>
      <c r="G71" s="16" t="n"/>
      <c r="H71" s="5">
        <f>IF($E71="Paid",$D71*Settings!$B$5,"")</f>
        <v/>
      </c>
      <c r="I71" s="5">
        <f>IF($E71="Paid",$D71*Settings!$B$6,"")</f>
        <v/>
      </c>
      <c r="J71" s="5">
        <f>IF($E71="Paid",$D71*Settings!$B$7,"")</f>
        <v/>
      </c>
      <c r="K71" s="5">
        <f>IF($E71="Paid",$D71*Settings!$B$8,"")</f>
        <v/>
      </c>
      <c r="L71" s="10">
        <f>IF($A71="","",DATE(YEAR($A71),MONTH($A71),1))</f>
        <v/>
      </c>
    </row>
    <row r="72">
      <c r="A72" s="15" t="n"/>
      <c r="B72" s="16" t="n"/>
      <c r="C72" s="16" t="n"/>
      <c r="D72" s="14" t="n"/>
      <c r="E72" s="16" t="n"/>
      <c r="F72" s="16" t="n"/>
      <c r="G72" s="16" t="n"/>
      <c r="H72" s="5">
        <f>IF($E72="Paid",$D72*Settings!$B$5,"")</f>
        <v/>
      </c>
      <c r="I72" s="5">
        <f>IF($E72="Paid",$D72*Settings!$B$6,"")</f>
        <v/>
      </c>
      <c r="J72" s="5">
        <f>IF($E72="Paid",$D72*Settings!$B$7,"")</f>
        <v/>
      </c>
      <c r="K72" s="5">
        <f>IF($E72="Paid",$D72*Settings!$B$8,"")</f>
        <v/>
      </c>
      <c r="L72" s="10">
        <f>IF($A72="","",DATE(YEAR($A72),MONTH($A72),1))</f>
        <v/>
      </c>
    </row>
    <row r="73">
      <c r="A73" s="15" t="n"/>
      <c r="B73" s="16" t="n"/>
      <c r="C73" s="16" t="n"/>
      <c r="D73" s="14" t="n"/>
      <c r="E73" s="16" t="n"/>
      <c r="F73" s="16" t="n"/>
      <c r="G73" s="16" t="n"/>
      <c r="H73" s="5">
        <f>IF($E73="Paid",$D73*Settings!$B$5,"")</f>
        <v/>
      </c>
      <c r="I73" s="5">
        <f>IF($E73="Paid",$D73*Settings!$B$6,"")</f>
        <v/>
      </c>
      <c r="J73" s="5">
        <f>IF($E73="Paid",$D73*Settings!$B$7,"")</f>
        <v/>
      </c>
      <c r="K73" s="5">
        <f>IF($E73="Paid",$D73*Settings!$B$8,"")</f>
        <v/>
      </c>
      <c r="L73" s="10">
        <f>IF($A73="","",DATE(YEAR($A73),MONTH($A73),1))</f>
        <v/>
      </c>
    </row>
    <row r="74">
      <c r="A74" s="15" t="n"/>
      <c r="B74" s="16" t="n"/>
      <c r="C74" s="16" t="n"/>
      <c r="D74" s="14" t="n"/>
      <c r="E74" s="16" t="n"/>
      <c r="F74" s="16" t="n"/>
      <c r="G74" s="16" t="n"/>
      <c r="H74" s="5">
        <f>IF($E74="Paid",$D74*Settings!$B$5,"")</f>
        <v/>
      </c>
      <c r="I74" s="5">
        <f>IF($E74="Paid",$D74*Settings!$B$6,"")</f>
        <v/>
      </c>
      <c r="J74" s="5">
        <f>IF($E74="Paid",$D74*Settings!$B$7,"")</f>
        <v/>
      </c>
      <c r="K74" s="5">
        <f>IF($E74="Paid",$D74*Settings!$B$8,"")</f>
        <v/>
      </c>
      <c r="L74" s="10">
        <f>IF($A74="","",DATE(YEAR($A74),MONTH($A74),1))</f>
        <v/>
      </c>
    </row>
    <row r="75">
      <c r="A75" s="15" t="n"/>
      <c r="B75" s="16" t="n"/>
      <c r="C75" s="16" t="n"/>
      <c r="D75" s="14" t="n"/>
      <c r="E75" s="16" t="n"/>
      <c r="F75" s="16" t="n"/>
      <c r="G75" s="16" t="n"/>
      <c r="H75" s="5">
        <f>IF($E75="Paid",$D75*Settings!$B$5,"")</f>
        <v/>
      </c>
      <c r="I75" s="5">
        <f>IF($E75="Paid",$D75*Settings!$B$6,"")</f>
        <v/>
      </c>
      <c r="J75" s="5">
        <f>IF($E75="Paid",$D75*Settings!$B$7,"")</f>
        <v/>
      </c>
      <c r="K75" s="5">
        <f>IF($E75="Paid",$D75*Settings!$B$8,"")</f>
        <v/>
      </c>
      <c r="L75" s="10">
        <f>IF($A75="","",DATE(YEAR($A75),MONTH($A75),1))</f>
        <v/>
      </c>
    </row>
    <row r="76">
      <c r="A76" s="15" t="n"/>
      <c r="B76" s="16" t="n"/>
      <c r="C76" s="16" t="n"/>
      <c r="D76" s="14" t="n"/>
      <c r="E76" s="16" t="n"/>
      <c r="F76" s="16" t="n"/>
      <c r="G76" s="16" t="n"/>
      <c r="H76" s="5">
        <f>IF($E76="Paid",$D76*Settings!$B$5,"")</f>
        <v/>
      </c>
      <c r="I76" s="5">
        <f>IF($E76="Paid",$D76*Settings!$B$6,"")</f>
        <v/>
      </c>
      <c r="J76" s="5">
        <f>IF($E76="Paid",$D76*Settings!$B$7,"")</f>
        <v/>
      </c>
      <c r="K76" s="5">
        <f>IF($E76="Paid",$D76*Settings!$B$8,"")</f>
        <v/>
      </c>
      <c r="L76" s="10">
        <f>IF($A76="","",DATE(YEAR($A76),MONTH($A76),1))</f>
        <v/>
      </c>
    </row>
    <row r="77">
      <c r="A77" s="15" t="n"/>
      <c r="B77" s="16" t="n"/>
      <c r="C77" s="16" t="n"/>
      <c r="D77" s="14" t="n"/>
      <c r="E77" s="16" t="n"/>
      <c r="F77" s="16" t="n"/>
      <c r="G77" s="16" t="n"/>
      <c r="H77" s="5">
        <f>IF($E77="Paid",$D77*Settings!$B$5,"")</f>
        <v/>
      </c>
      <c r="I77" s="5">
        <f>IF($E77="Paid",$D77*Settings!$B$6,"")</f>
        <v/>
      </c>
      <c r="J77" s="5">
        <f>IF($E77="Paid",$D77*Settings!$B$7,"")</f>
        <v/>
      </c>
      <c r="K77" s="5">
        <f>IF($E77="Paid",$D77*Settings!$B$8,"")</f>
        <v/>
      </c>
      <c r="L77" s="10">
        <f>IF($A77="","",DATE(YEAR($A77),MONTH($A77),1))</f>
        <v/>
      </c>
    </row>
    <row r="78">
      <c r="A78" s="15" t="n"/>
      <c r="B78" s="16" t="n"/>
      <c r="C78" s="16" t="n"/>
      <c r="D78" s="14" t="n"/>
      <c r="E78" s="16" t="n"/>
      <c r="F78" s="16" t="n"/>
      <c r="G78" s="16" t="n"/>
      <c r="H78" s="5">
        <f>IF($E78="Paid",$D78*Settings!$B$5,"")</f>
        <v/>
      </c>
      <c r="I78" s="5">
        <f>IF($E78="Paid",$D78*Settings!$B$6,"")</f>
        <v/>
      </c>
      <c r="J78" s="5">
        <f>IF($E78="Paid",$D78*Settings!$B$7,"")</f>
        <v/>
      </c>
      <c r="K78" s="5">
        <f>IF($E78="Paid",$D78*Settings!$B$8,"")</f>
        <v/>
      </c>
      <c r="L78" s="10">
        <f>IF($A78="","",DATE(YEAR($A78),MONTH($A78),1))</f>
        <v/>
      </c>
    </row>
    <row r="79">
      <c r="A79" s="15" t="n"/>
      <c r="B79" s="16" t="n"/>
      <c r="C79" s="16" t="n"/>
      <c r="D79" s="14" t="n"/>
      <c r="E79" s="16" t="n"/>
      <c r="F79" s="16" t="n"/>
      <c r="G79" s="16" t="n"/>
      <c r="H79" s="5">
        <f>IF($E79="Paid",$D79*Settings!$B$5,"")</f>
        <v/>
      </c>
      <c r="I79" s="5">
        <f>IF($E79="Paid",$D79*Settings!$B$6,"")</f>
        <v/>
      </c>
      <c r="J79" s="5">
        <f>IF($E79="Paid",$D79*Settings!$B$7,"")</f>
        <v/>
      </c>
      <c r="K79" s="5">
        <f>IF($E79="Paid",$D79*Settings!$B$8,"")</f>
        <v/>
      </c>
      <c r="L79" s="10">
        <f>IF($A79="","",DATE(YEAR($A79),MONTH($A79),1))</f>
        <v/>
      </c>
    </row>
    <row r="80">
      <c r="A80" s="15" t="n"/>
      <c r="B80" s="16" t="n"/>
      <c r="C80" s="16" t="n"/>
      <c r="D80" s="14" t="n"/>
      <c r="E80" s="16" t="n"/>
      <c r="F80" s="16" t="n"/>
      <c r="G80" s="16" t="n"/>
      <c r="H80" s="5">
        <f>IF($E80="Paid",$D80*Settings!$B$5,"")</f>
        <v/>
      </c>
      <c r="I80" s="5">
        <f>IF($E80="Paid",$D80*Settings!$B$6,"")</f>
        <v/>
      </c>
      <c r="J80" s="5">
        <f>IF($E80="Paid",$D80*Settings!$B$7,"")</f>
        <v/>
      </c>
      <c r="K80" s="5">
        <f>IF($E80="Paid",$D80*Settings!$B$8,"")</f>
        <v/>
      </c>
      <c r="L80" s="10">
        <f>IF($A80="","",DATE(YEAR($A80),MONTH($A80),1))</f>
        <v/>
      </c>
    </row>
    <row r="81">
      <c r="A81" s="15" t="n"/>
      <c r="B81" s="16" t="n"/>
      <c r="C81" s="16" t="n"/>
      <c r="D81" s="14" t="n"/>
      <c r="E81" s="16" t="n"/>
      <c r="F81" s="16" t="n"/>
      <c r="G81" s="16" t="n"/>
      <c r="H81" s="5">
        <f>IF($E81="Paid",$D81*Settings!$B$5,"")</f>
        <v/>
      </c>
      <c r="I81" s="5">
        <f>IF($E81="Paid",$D81*Settings!$B$6,"")</f>
        <v/>
      </c>
      <c r="J81" s="5">
        <f>IF($E81="Paid",$D81*Settings!$B$7,"")</f>
        <v/>
      </c>
      <c r="K81" s="5">
        <f>IF($E81="Paid",$D81*Settings!$B$8,"")</f>
        <v/>
      </c>
      <c r="L81" s="10">
        <f>IF($A81="","",DATE(YEAR($A81),MONTH($A81),1))</f>
        <v/>
      </c>
    </row>
    <row r="82">
      <c r="A82" s="15" t="n"/>
      <c r="B82" s="16" t="n"/>
      <c r="C82" s="16" t="n"/>
      <c r="D82" s="14" t="n"/>
      <c r="E82" s="16" t="n"/>
      <c r="F82" s="16" t="n"/>
      <c r="G82" s="16" t="n"/>
      <c r="H82" s="5">
        <f>IF($E82="Paid",$D82*Settings!$B$5,"")</f>
        <v/>
      </c>
      <c r="I82" s="5">
        <f>IF($E82="Paid",$D82*Settings!$B$6,"")</f>
        <v/>
      </c>
      <c r="J82" s="5">
        <f>IF($E82="Paid",$D82*Settings!$B$7,"")</f>
        <v/>
      </c>
      <c r="K82" s="5">
        <f>IF($E82="Paid",$D82*Settings!$B$8,"")</f>
        <v/>
      </c>
      <c r="L82" s="10">
        <f>IF($A82="","",DATE(YEAR($A82),MONTH($A82),1))</f>
        <v/>
      </c>
    </row>
    <row r="83">
      <c r="A83" s="15" t="n"/>
      <c r="B83" s="16" t="n"/>
      <c r="C83" s="16" t="n"/>
      <c r="D83" s="14" t="n"/>
      <c r="E83" s="16" t="n"/>
      <c r="F83" s="16" t="n"/>
      <c r="G83" s="16" t="n"/>
      <c r="H83" s="5">
        <f>IF($E83="Paid",$D83*Settings!$B$5,"")</f>
        <v/>
      </c>
      <c r="I83" s="5">
        <f>IF($E83="Paid",$D83*Settings!$B$6,"")</f>
        <v/>
      </c>
      <c r="J83" s="5">
        <f>IF($E83="Paid",$D83*Settings!$B$7,"")</f>
        <v/>
      </c>
      <c r="K83" s="5">
        <f>IF($E83="Paid",$D83*Settings!$B$8,"")</f>
        <v/>
      </c>
      <c r="L83" s="10">
        <f>IF($A83="","",DATE(YEAR($A83),MONTH($A83),1))</f>
        <v/>
      </c>
    </row>
    <row r="84">
      <c r="A84" s="15" t="n"/>
      <c r="B84" s="16" t="n"/>
      <c r="C84" s="16" t="n"/>
      <c r="D84" s="14" t="n"/>
      <c r="E84" s="16" t="n"/>
      <c r="F84" s="16" t="n"/>
      <c r="G84" s="16" t="n"/>
      <c r="H84" s="5">
        <f>IF($E84="Paid",$D84*Settings!$B$5,"")</f>
        <v/>
      </c>
      <c r="I84" s="5">
        <f>IF($E84="Paid",$D84*Settings!$B$6,"")</f>
        <v/>
      </c>
      <c r="J84" s="5">
        <f>IF($E84="Paid",$D84*Settings!$B$7,"")</f>
        <v/>
      </c>
      <c r="K84" s="5">
        <f>IF($E84="Paid",$D84*Settings!$B$8,"")</f>
        <v/>
      </c>
      <c r="L84" s="10">
        <f>IF($A84="","",DATE(YEAR($A84),MONTH($A84),1))</f>
        <v/>
      </c>
    </row>
    <row r="85">
      <c r="A85" s="15" t="n"/>
      <c r="B85" s="16" t="n"/>
      <c r="C85" s="16" t="n"/>
      <c r="D85" s="14" t="n"/>
      <c r="E85" s="16" t="n"/>
      <c r="F85" s="16" t="n"/>
      <c r="G85" s="16" t="n"/>
      <c r="H85" s="5">
        <f>IF($E85="Paid",$D85*Settings!$B$5,"")</f>
        <v/>
      </c>
      <c r="I85" s="5">
        <f>IF($E85="Paid",$D85*Settings!$B$6,"")</f>
        <v/>
      </c>
      <c r="J85" s="5">
        <f>IF($E85="Paid",$D85*Settings!$B$7,"")</f>
        <v/>
      </c>
      <c r="K85" s="5">
        <f>IF($E85="Paid",$D85*Settings!$B$8,"")</f>
        <v/>
      </c>
      <c r="L85" s="10">
        <f>IF($A85="","",DATE(YEAR($A85),MONTH($A85),1))</f>
        <v/>
      </c>
    </row>
    <row r="86">
      <c r="A86" s="15" t="n"/>
      <c r="B86" s="16" t="n"/>
      <c r="C86" s="16" t="n"/>
      <c r="D86" s="14" t="n"/>
      <c r="E86" s="16" t="n"/>
      <c r="F86" s="16" t="n"/>
      <c r="G86" s="16" t="n"/>
      <c r="H86" s="5">
        <f>IF($E86="Paid",$D86*Settings!$B$5,"")</f>
        <v/>
      </c>
      <c r="I86" s="5">
        <f>IF($E86="Paid",$D86*Settings!$B$6,"")</f>
        <v/>
      </c>
      <c r="J86" s="5">
        <f>IF($E86="Paid",$D86*Settings!$B$7,"")</f>
        <v/>
      </c>
      <c r="K86" s="5">
        <f>IF($E86="Paid",$D86*Settings!$B$8,"")</f>
        <v/>
      </c>
      <c r="L86" s="10">
        <f>IF($A86="","",DATE(YEAR($A86),MONTH($A86),1))</f>
        <v/>
      </c>
    </row>
    <row r="87">
      <c r="A87" s="15" t="n"/>
      <c r="B87" s="16" t="n"/>
      <c r="C87" s="16" t="n"/>
      <c r="D87" s="14" t="n"/>
      <c r="E87" s="16" t="n"/>
      <c r="F87" s="16" t="n"/>
      <c r="G87" s="16" t="n"/>
      <c r="H87" s="5">
        <f>IF($E87="Paid",$D87*Settings!$B$5,"")</f>
        <v/>
      </c>
      <c r="I87" s="5">
        <f>IF($E87="Paid",$D87*Settings!$B$6,"")</f>
        <v/>
      </c>
      <c r="J87" s="5">
        <f>IF($E87="Paid",$D87*Settings!$B$7,"")</f>
        <v/>
      </c>
      <c r="K87" s="5">
        <f>IF($E87="Paid",$D87*Settings!$B$8,"")</f>
        <v/>
      </c>
      <c r="L87" s="10">
        <f>IF($A87="","",DATE(YEAR($A87),MONTH($A87),1))</f>
        <v/>
      </c>
    </row>
    <row r="88">
      <c r="A88" s="15" t="n"/>
      <c r="B88" s="16" t="n"/>
      <c r="C88" s="16" t="n"/>
      <c r="D88" s="14" t="n"/>
      <c r="E88" s="16" t="n"/>
      <c r="F88" s="16" t="n"/>
      <c r="G88" s="16" t="n"/>
      <c r="H88" s="5">
        <f>IF($E88="Paid",$D88*Settings!$B$5,"")</f>
        <v/>
      </c>
      <c r="I88" s="5">
        <f>IF($E88="Paid",$D88*Settings!$B$6,"")</f>
        <v/>
      </c>
      <c r="J88" s="5">
        <f>IF($E88="Paid",$D88*Settings!$B$7,"")</f>
        <v/>
      </c>
      <c r="K88" s="5">
        <f>IF($E88="Paid",$D88*Settings!$B$8,"")</f>
        <v/>
      </c>
      <c r="L88" s="10">
        <f>IF($A88="","",DATE(YEAR($A88),MONTH($A88),1))</f>
        <v/>
      </c>
    </row>
    <row r="89">
      <c r="A89" s="15" t="n"/>
      <c r="B89" s="16" t="n"/>
      <c r="C89" s="16" t="n"/>
      <c r="D89" s="14" t="n"/>
      <c r="E89" s="16" t="n"/>
      <c r="F89" s="16" t="n"/>
      <c r="G89" s="16" t="n"/>
      <c r="H89" s="5">
        <f>IF($E89="Paid",$D89*Settings!$B$5,"")</f>
        <v/>
      </c>
      <c r="I89" s="5">
        <f>IF($E89="Paid",$D89*Settings!$B$6,"")</f>
        <v/>
      </c>
      <c r="J89" s="5">
        <f>IF($E89="Paid",$D89*Settings!$B$7,"")</f>
        <v/>
      </c>
      <c r="K89" s="5">
        <f>IF($E89="Paid",$D89*Settings!$B$8,"")</f>
        <v/>
      </c>
      <c r="L89" s="10">
        <f>IF($A89="","",DATE(YEAR($A89),MONTH($A89),1))</f>
        <v/>
      </c>
    </row>
    <row r="90">
      <c r="A90" s="15" t="n"/>
      <c r="B90" s="16" t="n"/>
      <c r="C90" s="16" t="n"/>
      <c r="D90" s="14" t="n"/>
      <c r="E90" s="16" t="n"/>
      <c r="F90" s="16" t="n"/>
      <c r="G90" s="16" t="n"/>
      <c r="H90" s="5">
        <f>IF($E90="Paid",$D90*Settings!$B$5,"")</f>
        <v/>
      </c>
      <c r="I90" s="5">
        <f>IF($E90="Paid",$D90*Settings!$B$6,"")</f>
        <v/>
      </c>
      <c r="J90" s="5">
        <f>IF($E90="Paid",$D90*Settings!$B$7,"")</f>
        <v/>
      </c>
      <c r="K90" s="5">
        <f>IF($E90="Paid",$D90*Settings!$B$8,"")</f>
        <v/>
      </c>
      <c r="L90" s="10">
        <f>IF($A90="","",DATE(YEAR($A90),MONTH($A90),1))</f>
        <v/>
      </c>
    </row>
    <row r="91">
      <c r="A91" s="15" t="n"/>
      <c r="B91" s="16" t="n"/>
      <c r="C91" s="16" t="n"/>
      <c r="D91" s="14" t="n"/>
      <c r="E91" s="16" t="n"/>
      <c r="F91" s="16" t="n"/>
      <c r="G91" s="16" t="n"/>
      <c r="H91" s="5">
        <f>IF($E91="Paid",$D91*Settings!$B$5,"")</f>
        <v/>
      </c>
      <c r="I91" s="5">
        <f>IF($E91="Paid",$D91*Settings!$B$6,"")</f>
        <v/>
      </c>
      <c r="J91" s="5">
        <f>IF($E91="Paid",$D91*Settings!$B$7,"")</f>
        <v/>
      </c>
      <c r="K91" s="5">
        <f>IF($E91="Paid",$D91*Settings!$B$8,"")</f>
        <v/>
      </c>
      <c r="L91" s="10">
        <f>IF($A91="","",DATE(YEAR($A91),MONTH($A91),1))</f>
        <v/>
      </c>
    </row>
    <row r="92">
      <c r="A92" s="15" t="n"/>
      <c r="B92" s="16" t="n"/>
      <c r="C92" s="16" t="n"/>
      <c r="D92" s="14" t="n"/>
      <c r="E92" s="16" t="n"/>
      <c r="F92" s="16" t="n"/>
      <c r="G92" s="16" t="n"/>
      <c r="H92" s="5">
        <f>IF($E92="Paid",$D92*Settings!$B$5,"")</f>
        <v/>
      </c>
      <c r="I92" s="5">
        <f>IF($E92="Paid",$D92*Settings!$B$6,"")</f>
        <v/>
      </c>
      <c r="J92" s="5">
        <f>IF($E92="Paid",$D92*Settings!$B$7,"")</f>
        <v/>
      </c>
      <c r="K92" s="5">
        <f>IF($E92="Paid",$D92*Settings!$B$8,"")</f>
        <v/>
      </c>
      <c r="L92" s="10">
        <f>IF($A92="","",DATE(YEAR($A92),MONTH($A92),1))</f>
        <v/>
      </c>
    </row>
    <row r="93">
      <c r="A93" s="15" t="n"/>
      <c r="B93" s="16" t="n"/>
      <c r="C93" s="16" t="n"/>
      <c r="D93" s="14" t="n"/>
      <c r="E93" s="16" t="n"/>
      <c r="F93" s="16" t="n"/>
      <c r="G93" s="16" t="n"/>
      <c r="H93" s="5">
        <f>IF($E93="Paid",$D93*Settings!$B$5,"")</f>
        <v/>
      </c>
      <c r="I93" s="5">
        <f>IF($E93="Paid",$D93*Settings!$B$6,"")</f>
        <v/>
      </c>
      <c r="J93" s="5">
        <f>IF($E93="Paid",$D93*Settings!$B$7,"")</f>
        <v/>
      </c>
      <c r="K93" s="5">
        <f>IF($E93="Paid",$D93*Settings!$B$8,"")</f>
        <v/>
      </c>
      <c r="L93" s="10">
        <f>IF($A93="","",DATE(YEAR($A93),MONTH($A93),1))</f>
        <v/>
      </c>
    </row>
    <row r="94">
      <c r="A94" s="15" t="n"/>
      <c r="B94" s="16" t="n"/>
      <c r="C94" s="16" t="n"/>
      <c r="D94" s="14" t="n"/>
      <c r="E94" s="16" t="n"/>
      <c r="F94" s="16" t="n"/>
      <c r="G94" s="16" t="n"/>
      <c r="H94" s="5">
        <f>IF($E94="Paid",$D94*Settings!$B$5,"")</f>
        <v/>
      </c>
      <c r="I94" s="5">
        <f>IF($E94="Paid",$D94*Settings!$B$6,"")</f>
        <v/>
      </c>
      <c r="J94" s="5">
        <f>IF($E94="Paid",$D94*Settings!$B$7,"")</f>
        <v/>
      </c>
      <c r="K94" s="5">
        <f>IF($E94="Paid",$D94*Settings!$B$8,"")</f>
        <v/>
      </c>
      <c r="L94" s="10">
        <f>IF($A94="","",DATE(YEAR($A94),MONTH($A94),1))</f>
        <v/>
      </c>
    </row>
    <row r="95">
      <c r="A95" s="15" t="n"/>
      <c r="B95" s="16" t="n"/>
      <c r="C95" s="16" t="n"/>
      <c r="D95" s="14" t="n"/>
      <c r="E95" s="16" t="n"/>
      <c r="F95" s="16" t="n"/>
      <c r="G95" s="16" t="n"/>
      <c r="H95" s="5">
        <f>IF($E95="Paid",$D95*Settings!$B$5,"")</f>
        <v/>
      </c>
      <c r="I95" s="5">
        <f>IF($E95="Paid",$D95*Settings!$B$6,"")</f>
        <v/>
      </c>
      <c r="J95" s="5">
        <f>IF($E95="Paid",$D95*Settings!$B$7,"")</f>
        <v/>
      </c>
      <c r="K95" s="5">
        <f>IF($E95="Paid",$D95*Settings!$B$8,"")</f>
        <v/>
      </c>
      <c r="L95" s="10">
        <f>IF($A95="","",DATE(YEAR($A95),MONTH($A95),1))</f>
        <v/>
      </c>
    </row>
    <row r="96">
      <c r="A96" s="15" t="n"/>
      <c r="B96" s="16" t="n"/>
      <c r="C96" s="16" t="n"/>
      <c r="D96" s="14" t="n"/>
      <c r="E96" s="16" t="n"/>
      <c r="F96" s="16" t="n"/>
      <c r="G96" s="16" t="n"/>
      <c r="H96" s="5">
        <f>IF($E96="Paid",$D96*Settings!$B$5,"")</f>
        <v/>
      </c>
      <c r="I96" s="5">
        <f>IF($E96="Paid",$D96*Settings!$B$6,"")</f>
        <v/>
      </c>
      <c r="J96" s="5">
        <f>IF($E96="Paid",$D96*Settings!$B$7,"")</f>
        <v/>
      </c>
      <c r="K96" s="5">
        <f>IF($E96="Paid",$D96*Settings!$B$8,"")</f>
        <v/>
      </c>
      <c r="L96" s="10">
        <f>IF($A96="","",DATE(YEAR($A96),MONTH($A96),1))</f>
        <v/>
      </c>
    </row>
    <row r="97">
      <c r="A97" s="15" t="n"/>
      <c r="B97" s="16" t="n"/>
      <c r="C97" s="16" t="n"/>
      <c r="D97" s="14" t="n"/>
      <c r="E97" s="16" t="n"/>
      <c r="F97" s="16" t="n"/>
      <c r="G97" s="16" t="n"/>
      <c r="H97" s="5">
        <f>IF($E97="Paid",$D97*Settings!$B$5,"")</f>
        <v/>
      </c>
      <c r="I97" s="5">
        <f>IF($E97="Paid",$D97*Settings!$B$6,"")</f>
        <v/>
      </c>
      <c r="J97" s="5">
        <f>IF($E97="Paid",$D97*Settings!$B$7,"")</f>
        <v/>
      </c>
      <c r="K97" s="5">
        <f>IF($E97="Paid",$D97*Settings!$B$8,"")</f>
        <v/>
      </c>
      <c r="L97" s="10">
        <f>IF($A97="","",DATE(YEAR($A97),MONTH($A97),1))</f>
        <v/>
      </c>
    </row>
    <row r="98">
      <c r="A98" s="15" t="n"/>
      <c r="B98" s="16" t="n"/>
      <c r="C98" s="16" t="n"/>
      <c r="D98" s="14" t="n"/>
      <c r="E98" s="16" t="n"/>
      <c r="F98" s="16" t="n"/>
      <c r="G98" s="16" t="n"/>
      <c r="H98" s="5">
        <f>IF($E98="Paid",$D98*Settings!$B$5,"")</f>
        <v/>
      </c>
      <c r="I98" s="5">
        <f>IF($E98="Paid",$D98*Settings!$B$6,"")</f>
        <v/>
      </c>
      <c r="J98" s="5">
        <f>IF($E98="Paid",$D98*Settings!$B$7,"")</f>
        <v/>
      </c>
      <c r="K98" s="5">
        <f>IF($E98="Paid",$D98*Settings!$B$8,"")</f>
        <v/>
      </c>
      <c r="L98" s="10">
        <f>IF($A98="","",DATE(YEAR($A98),MONTH($A98),1))</f>
        <v/>
      </c>
    </row>
    <row r="99">
      <c r="A99" s="15" t="n"/>
      <c r="B99" s="16" t="n"/>
      <c r="C99" s="16" t="n"/>
      <c r="D99" s="14" t="n"/>
      <c r="E99" s="16" t="n"/>
      <c r="F99" s="16" t="n"/>
      <c r="G99" s="16" t="n"/>
      <c r="H99" s="5">
        <f>IF($E99="Paid",$D99*Settings!$B$5,"")</f>
        <v/>
      </c>
      <c r="I99" s="5">
        <f>IF($E99="Paid",$D99*Settings!$B$6,"")</f>
        <v/>
      </c>
      <c r="J99" s="5">
        <f>IF($E99="Paid",$D99*Settings!$B$7,"")</f>
        <v/>
      </c>
      <c r="K99" s="5">
        <f>IF($E99="Paid",$D99*Settings!$B$8,"")</f>
        <v/>
      </c>
      <c r="L99" s="10">
        <f>IF($A99="","",DATE(YEAR($A99),MONTH($A99),1))</f>
        <v/>
      </c>
    </row>
    <row r="100">
      <c r="A100" s="15" t="n"/>
      <c r="B100" s="16" t="n"/>
      <c r="C100" s="16" t="n"/>
      <c r="D100" s="14" t="n"/>
      <c r="E100" s="16" t="n"/>
      <c r="F100" s="16" t="n"/>
      <c r="G100" s="16" t="n"/>
      <c r="H100" s="5">
        <f>IF($E100="Paid",$D100*Settings!$B$5,"")</f>
        <v/>
      </c>
      <c r="I100" s="5">
        <f>IF($E100="Paid",$D100*Settings!$B$6,"")</f>
        <v/>
      </c>
      <c r="J100" s="5">
        <f>IF($E100="Paid",$D100*Settings!$B$7,"")</f>
        <v/>
      </c>
      <c r="K100" s="5">
        <f>IF($E100="Paid",$D100*Settings!$B$8,"")</f>
        <v/>
      </c>
      <c r="L100" s="10">
        <f>IF($A100="","",DATE(YEAR($A100),MONTH($A100),1))</f>
        <v/>
      </c>
    </row>
    <row r="101">
      <c r="A101" s="15" t="n"/>
      <c r="B101" s="16" t="n"/>
      <c r="C101" s="16" t="n"/>
      <c r="D101" s="14" t="n"/>
      <c r="E101" s="16" t="n"/>
      <c r="F101" s="16" t="n"/>
      <c r="G101" s="16" t="n"/>
      <c r="H101" s="5">
        <f>IF($E101="Paid",$D101*Settings!$B$5,"")</f>
        <v/>
      </c>
      <c r="I101" s="5">
        <f>IF($E101="Paid",$D101*Settings!$B$6,"")</f>
        <v/>
      </c>
      <c r="J101" s="5">
        <f>IF($E101="Paid",$D101*Settings!$B$7,"")</f>
        <v/>
      </c>
      <c r="K101" s="5">
        <f>IF($E101="Paid",$D101*Settings!$B$8,"")</f>
        <v/>
      </c>
      <c r="L101" s="10">
        <f>IF($A101="","",DATE(YEAR($A101),MONTH($A101),1))</f>
        <v/>
      </c>
    </row>
    <row r="102">
      <c r="A102" s="15" t="n"/>
      <c r="B102" s="16" t="n"/>
      <c r="C102" s="16" t="n"/>
      <c r="D102" s="14" t="n"/>
      <c r="E102" s="16" t="n"/>
      <c r="F102" s="16" t="n"/>
      <c r="G102" s="16" t="n"/>
      <c r="H102" s="5">
        <f>IF($E102="Paid",$D102*Settings!$B$5,"")</f>
        <v/>
      </c>
      <c r="I102" s="5">
        <f>IF($E102="Paid",$D102*Settings!$B$6,"")</f>
        <v/>
      </c>
      <c r="J102" s="5">
        <f>IF($E102="Paid",$D102*Settings!$B$7,"")</f>
        <v/>
      </c>
      <c r="K102" s="5">
        <f>IF($E102="Paid",$D102*Settings!$B$8,"")</f>
        <v/>
      </c>
      <c r="L102" s="10">
        <f>IF($A102="","",DATE(YEAR($A102),MONTH($A102),1))</f>
        <v/>
      </c>
    </row>
    <row r="103">
      <c r="A103" s="15" t="n"/>
      <c r="B103" s="16" t="n"/>
      <c r="C103" s="16" t="n"/>
      <c r="D103" s="14" t="n"/>
      <c r="E103" s="16" t="n"/>
      <c r="F103" s="16" t="n"/>
      <c r="G103" s="16" t="n"/>
      <c r="H103" s="5">
        <f>IF($E103="Paid",$D103*Settings!$B$5,"")</f>
        <v/>
      </c>
      <c r="I103" s="5">
        <f>IF($E103="Paid",$D103*Settings!$B$6,"")</f>
        <v/>
      </c>
      <c r="J103" s="5">
        <f>IF($E103="Paid",$D103*Settings!$B$7,"")</f>
        <v/>
      </c>
      <c r="K103" s="5">
        <f>IF($E103="Paid",$D103*Settings!$B$8,"")</f>
        <v/>
      </c>
      <c r="L103" s="10">
        <f>IF($A103="","",DATE(YEAR($A103),MONTH($A103),1))</f>
        <v/>
      </c>
    </row>
    <row r="104">
      <c r="A104" s="15" t="n"/>
      <c r="B104" s="16" t="n"/>
      <c r="C104" s="16" t="n"/>
      <c r="D104" s="14" t="n"/>
      <c r="E104" s="16" t="n"/>
      <c r="F104" s="16" t="n"/>
      <c r="G104" s="16" t="n"/>
      <c r="H104" s="5">
        <f>IF($E104="Paid",$D104*Settings!$B$5,"")</f>
        <v/>
      </c>
      <c r="I104" s="5">
        <f>IF($E104="Paid",$D104*Settings!$B$6,"")</f>
        <v/>
      </c>
      <c r="J104" s="5">
        <f>IF($E104="Paid",$D104*Settings!$B$7,"")</f>
        <v/>
      </c>
      <c r="K104" s="5">
        <f>IF($E104="Paid",$D104*Settings!$B$8,"")</f>
        <v/>
      </c>
      <c r="L104" s="10">
        <f>IF($A104="","",DATE(YEAR($A104),MONTH($A104),1))</f>
        <v/>
      </c>
    </row>
    <row r="105">
      <c r="A105" s="15" t="n"/>
      <c r="B105" s="16" t="n"/>
      <c r="C105" s="16" t="n"/>
      <c r="D105" s="14" t="n"/>
      <c r="E105" s="16" t="n"/>
      <c r="F105" s="16" t="n"/>
      <c r="G105" s="16" t="n"/>
      <c r="H105" s="5">
        <f>IF($E105="Paid",$D105*Settings!$B$5,"")</f>
        <v/>
      </c>
      <c r="I105" s="5">
        <f>IF($E105="Paid",$D105*Settings!$B$6,"")</f>
        <v/>
      </c>
      <c r="J105" s="5">
        <f>IF($E105="Paid",$D105*Settings!$B$7,"")</f>
        <v/>
      </c>
      <c r="K105" s="5">
        <f>IF($E105="Paid",$D105*Settings!$B$8,"")</f>
        <v/>
      </c>
      <c r="L105" s="10">
        <f>IF($A105="","",DATE(YEAR($A105),MONTH($A105),1))</f>
        <v/>
      </c>
    </row>
    <row r="106">
      <c r="A106" s="15" t="n"/>
      <c r="B106" s="16" t="n"/>
      <c r="C106" s="16" t="n"/>
      <c r="D106" s="14" t="n"/>
      <c r="E106" s="16" t="n"/>
      <c r="F106" s="16" t="n"/>
      <c r="G106" s="16" t="n"/>
      <c r="H106" s="5">
        <f>IF($E106="Paid",$D106*Settings!$B$5,"")</f>
        <v/>
      </c>
      <c r="I106" s="5">
        <f>IF($E106="Paid",$D106*Settings!$B$6,"")</f>
        <v/>
      </c>
      <c r="J106" s="5">
        <f>IF($E106="Paid",$D106*Settings!$B$7,"")</f>
        <v/>
      </c>
      <c r="K106" s="5">
        <f>IF($E106="Paid",$D106*Settings!$B$8,"")</f>
        <v/>
      </c>
      <c r="L106" s="10">
        <f>IF($A106="","",DATE(YEAR($A106),MONTH($A106),1))</f>
        <v/>
      </c>
    </row>
    <row r="107">
      <c r="A107" s="15" t="n"/>
      <c r="B107" s="16" t="n"/>
      <c r="C107" s="16" t="n"/>
      <c r="D107" s="14" t="n"/>
      <c r="E107" s="16" t="n"/>
      <c r="F107" s="16" t="n"/>
      <c r="G107" s="16" t="n"/>
      <c r="H107" s="5">
        <f>IF($E107="Paid",$D107*Settings!$B$5,"")</f>
        <v/>
      </c>
      <c r="I107" s="5">
        <f>IF($E107="Paid",$D107*Settings!$B$6,"")</f>
        <v/>
      </c>
      <c r="J107" s="5">
        <f>IF($E107="Paid",$D107*Settings!$B$7,"")</f>
        <v/>
      </c>
      <c r="K107" s="5">
        <f>IF($E107="Paid",$D107*Settings!$B$8,"")</f>
        <v/>
      </c>
      <c r="L107" s="10">
        <f>IF($A107="","",DATE(YEAR($A107),MONTH($A107),1))</f>
        <v/>
      </c>
    </row>
    <row r="108">
      <c r="A108" s="15" t="n"/>
      <c r="B108" s="16" t="n"/>
      <c r="C108" s="16" t="n"/>
      <c r="D108" s="14" t="n"/>
      <c r="E108" s="16" t="n"/>
      <c r="F108" s="16" t="n"/>
      <c r="G108" s="16" t="n"/>
      <c r="H108" s="5">
        <f>IF($E108="Paid",$D108*Settings!$B$5,"")</f>
        <v/>
      </c>
      <c r="I108" s="5">
        <f>IF($E108="Paid",$D108*Settings!$B$6,"")</f>
        <v/>
      </c>
      <c r="J108" s="5">
        <f>IF($E108="Paid",$D108*Settings!$B$7,"")</f>
        <v/>
      </c>
      <c r="K108" s="5">
        <f>IF($E108="Paid",$D108*Settings!$B$8,"")</f>
        <v/>
      </c>
      <c r="L108" s="10">
        <f>IF($A108="","",DATE(YEAR($A108),MONTH($A108),1))</f>
        <v/>
      </c>
    </row>
    <row r="109">
      <c r="A109" s="15" t="n"/>
      <c r="B109" s="16" t="n"/>
      <c r="C109" s="16" t="n"/>
      <c r="D109" s="14" t="n"/>
      <c r="E109" s="16" t="n"/>
      <c r="F109" s="16" t="n"/>
      <c r="G109" s="16" t="n"/>
      <c r="H109" s="5">
        <f>IF($E109="Paid",$D109*Settings!$B$5,"")</f>
        <v/>
      </c>
      <c r="I109" s="5">
        <f>IF($E109="Paid",$D109*Settings!$B$6,"")</f>
        <v/>
      </c>
      <c r="J109" s="5">
        <f>IF($E109="Paid",$D109*Settings!$B$7,"")</f>
        <v/>
      </c>
      <c r="K109" s="5">
        <f>IF($E109="Paid",$D109*Settings!$B$8,"")</f>
        <v/>
      </c>
      <c r="L109" s="10">
        <f>IF($A109="","",DATE(YEAR($A109),MONTH($A109),1))</f>
        <v/>
      </c>
    </row>
    <row r="110">
      <c r="A110" s="15" t="n"/>
      <c r="B110" s="16" t="n"/>
      <c r="C110" s="16" t="n"/>
      <c r="D110" s="14" t="n"/>
      <c r="E110" s="16" t="n"/>
      <c r="F110" s="16" t="n"/>
      <c r="G110" s="16" t="n"/>
      <c r="H110" s="5">
        <f>IF($E110="Paid",$D110*Settings!$B$5,"")</f>
        <v/>
      </c>
      <c r="I110" s="5">
        <f>IF($E110="Paid",$D110*Settings!$B$6,"")</f>
        <v/>
      </c>
      <c r="J110" s="5">
        <f>IF($E110="Paid",$D110*Settings!$B$7,"")</f>
        <v/>
      </c>
      <c r="K110" s="5">
        <f>IF($E110="Paid",$D110*Settings!$B$8,"")</f>
        <v/>
      </c>
      <c r="L110" s="10">
        <f>IF($A110="","",DATE(YEAR($A110),MONTH($A110),1))</f>
        <v/>
      </c>
    </row>
    <row r="111">
      <c r="A111" s="15" t="n"/>
      <c r="B111" s="16" t="n"/>
      <c r="C111" s="16" t="n"/>
      <c r="D111" s="14" t="n"/>
      <c r="E111" s="16" t="n"/>
      <c r="F111" s="16" t="n"/>
      <c r="G111" s="16" t="n"/>
      <c r="H111" s="5">
        <f>IF($E111="Paid",$D111*Settings!$B$5,"")</f>
        <v/>
      </c>
      <c r="I111" s="5">
        <f>IF($E111="Paid",$D111*Settings!$B$6,"")</f>
        <v/>
      </c>
      <c r="J111" s="5">
        <f>IF($E111="Paid",$D111*Settings!$B$7,"")</f>
        <v/>
      </c>
      <c r="K111" s="5">
        <f>IF($E111="Paid",$D111*Settings!$B$8,"")</f>
        <v/>
      </c>
      <c r="L111" s="10">
        <f>IF($A111="","",DATE(YEAR($A111),MONTH($A111),1))</f>
        <v/>
      </c>
    </row>
    <row r="112">
      <c r="A112" s="15" t="n"/>
      <c r="B112" s="16" t="n"/>
      <c r="C112" s="16" t="n"/>
      <c r="D112" s="14" t="n"/>
      <c r="E112" s="16" t="n"/>
      <c r="F112" s="16" t="n"/>
      <c r="G112" s="16" t="n"/>
      <c r="H112" s="5">
        <f>IF($E112="Paid",$D112*Settings!$B$5,"")</f>
        <v/>
      </c>
      <c r="I112" s="5">
        <f>IF($E112="Paid",$D112*Settings!$B$6,"")</f>
        <v/>
      </c>
      <c r="J112" s="5">
        <f>IF($E112="Paid",$D112*Settings!$B$7,"")</f>
        <v/>
      </c>
      <c r="K112" s="5">
        <f>IF($E112="Paid",$D112*Settings!$B$8,"")</f>
        <v/>
      </c>
      <c r="L112" s="10">
        <f>IF($A112="","",DATE(YEAR($A112),MONTH($A112),1))</f>
        <v/>
      </c>
    </row>
    <row r="113">
      <c r="A113" s="15" t="n"/>
      <c r="B113" s="16" t="n"/>
      <c r="C113" s="16" t="n"/>
      <c r="D113" s="14" t="n"/>
      <c r="E113" s="16" t="n"/>
      <c r="F113" s="16" t="n"/>
      <c r="G113" s="16" t="n"/>
      <c r="H113" s="5">
        <f>IF($E113="Paid",$D113*Settings!$B$5,"")</f>
        <v/>
      </c>
      <c r="I113" s="5">
        <f>IF($E113="Paid",$D113*Settings!$B$6,"")</f>
        <v/>
      </c>
      <c r="J113" s="5">
        <f>IF($E113="Paid",$D113*Settings!$B$7,"")</f>
        <v/>
      </c>
      <c r="K113" s="5">
        <f>IF($E113="Paid",$D113*Settings!$B$8,"")</f>
        <v/>
      </c>
      <c r="L113" s="10">
        <f>IF($A113="","",DATE(YEAR($A113),MONTH($A113),1))</f>
        <v/>
      </c>
    </row>
    <row r="114">
      <c r="A114" s="15" t="n"/>
      <c r="B114" s="16" t="n"/>
      <c r="C114" s="16" t="n"/>
      <c r="D114" s="14" t="n"/>
      <c r="E114" s="16" t="n"/>
      <c r="F114" s="16" t="n"/>
      <c r="G114" s="16" t="n"/>
      <c r="H114" s="5">
        <f>IF($E114="Paid",$D114*Settings!$B$5,"")</f>
        <v/>
      </c>
      <c r="I114" s="5">
        <f>IF($E114="Paid",$D114*Settings!$B$6,"")</f>
        <v/>
      </c>
      <c r="J114" s="5">
        <f>IF($E114="Paid",$D114*Settings!$B$7,"")</f>
        <v/>
      </c>
      <c r="K114" s="5">
        <f>IF($E114="Paid",$D114*Settings!$B$8,"")</f>
        <v/>
      </c>
      <c r="L114" s="10">
        <f>IF($A114="","",DATE(YEAR($A114),MONTH($A114),1))</f>
        <v/>
      </c>
    </row>
    <row r="115">
      <c r="A115" s="15" t="n"/>
      <c r="B115" s="16" t="n"/>
      <c r="C115" s="16" t="n"/>
      <c r="D115" s="14" t="n"/>
      <c r="E115" s="16" t="n"/>
      <c r="F115" s="16" t="n"/>
      <c r="G115" s="16" t="n"/>
      <c r="H115" s="5">
        <f>IF($E115="Paid",$D115*Settings!$B$5,"")</f>
        <v/>
      </c>
      <c r="I115" s="5">
        <f>IF($E115="Paid",$D115*Settings!$B$6,"")</f>
        <v/>
      </c>
      <c r="J115" s="5">
        <f>IF($E115="Paid",$D115*Settings!$B$7,"")</f>
        <v/>
      </c>
      <c r="K115" s="5">
        <f>IF($E115="Paid",$D115*Settings!$B$8,"")</f>
        <v/>
      </c>
      <c r="L115" s="10">
        <f>IF($A115="","",DATE(YEAR($A115),MONTH($A115),1))</f>
        <v/>
      </c>
    </row>
    <row r="116">
      <c r="A116" s="15" t="n"/>
      <c r="B116" s="16" t="n"/>
      <c r="C116" s="16" t="n"/>
      <c r="D116" s="14" t="n"/>
      <c r="E116" s="16" t="n"/>
      <c r="F116" s="16" t="n"/>
      <c r="G116" s="16" t="n"/>
      <c r="H116" s="5">
        <f>IF($E116="Paid",$D116*Settings!$B$5,"")</f>
        <v/>
      </c>
      <c r="I116" s="5">
        <f>IF($E116="Paid",$D116*Settings!$B$6,"")</f>
        <v/>
      </c>
      <c r="J116" s="5">
        <f>IF($E116="Paid",$D116*Settings!$B$7,"")</f>
        <v/>
      </c>
      <c r="K116" s="5">
        <f>IF($E116="Paid",$D116*Settings!$B$8,"")</f>
        <v/>
      </c>
      <c r="L116" s="10">
        <f>IF($A116="","",DATE(YEAR($A116),MONTH($A116),1))</f>
        <v/>
      </c>
    </row>
    <row r="117">
      <c r="A117" s="15" t="n"/>
      <c r="B117" s="16" t="n"/>
      <c r="C117" s="16" t="n"/>
      <c r="D117" s="14" t="n"/>
      <c r="E117" s="16" t="n"/>
      <c r="F117" s="16" t="n"/>
      <c r="G117" s="16" t="n"/>
      <c r="H117" s="5">
        <f>IF($E117="Paid",$D117*Settings!$B$5,"")</f>
        <v/>
      </c>
      <c r="I117" s="5">
        <f>IF($E117="Paid",$D117*Settings!$B$6,"")</f>
        <v/>
      </c>
      <c r="J117" s="5">
        <f>IF($E117="Paid",$D117*Settings!$B$7,"")</f>
        <v/>
      </c>
      <c r="K117" s="5">
        <f>IF($E117="Paid",$D117*Settings!$B$8,"")</f>
        <v/>
      </c>
      <c r="L117" s="10">
        <f>IF($A117="","",DATE(YEAR($A117),MONTH($A117),1))</f>
        <v/>
      </c>
    </row>
    <row r="118">
      <c r="A118" s="15" t="n"/>
      <c r="B118" s="16" t="n"/>
      <c r="C118" s="16" t="n"/>
      <c r="D118" s="14" t="n"/>
      <c r="E118" s="16" t="n"/>
      <c r="F118" s="16" t="n"/>
      <c r="G118" s="16" t="n"/>
      <c r="H118" s="5">
        <f>IF($E118="Paid",$D118*Settings!$B$5,"")</f>
        <v/>
      </c>
      <c r="I118" s="5">
        <f>IF($E118="Paid",$D118*Settings!$B$6,"")</f>
        <v/>
      </c>
      <c r="J118" s="5">
        <f>IF($E118="Paid",$D118*Settings!$B$7,"")</f>
        <v/>
      </c>
      <c r="K118" s="5">
        <f>IF($E118="Paid",$D118*Settings!$B$8,"")</f>
        <v/>
      </c>
      <c r="L118" s="10">
        <f>IF($A118="","",DATE(YEAR($A118),MONTH($A118),1))</f>
        <v/>
      </c>
    </row>
    <row r="119">
      <c r="A119" s="15" t="n"/>
      <c r="B119" s="16" t="n"/>
      <c r="C119" s="16" t="n"/>
      <c r="D119" s="14" t="n"/>
      <c r="E119" s="16" t="n"/>
      <c r="F119" s="16" t="n"/>
      <c r="G119" s="16" t="n"/>
      <c r="H119" s="5">
        <f>IF($E119="Paid",$D119*Settings!$B$5,"")</f>
        <v/>
      </c>
      <c r="I119" s="5">
        <f>IF($E119="Paid",$D119*Settings!$B$6,"")</f>
        <v/>
      </c>
      <c r="J119" s="5">
        <f>IF($E119="Paid",$D119*Settings!$B$7,"")</f>
        <v/>
      </c>
      <c r="K119" s="5">
        <f>IF($E119="Paid",$D119*Settings!$B$8,"")</f>
        <v/>
      </c>
      <c r="L119" s="10">
        <f>IF($A119="","",DATE(YEAR($A119),MONTH($A119),1))</f>
        <v/>
      </c>
    </row>
    <row r="120">
      <c r="A120" s="15" t="n"/>
      <c r="B120" s="16" t="n"/>
      <c r="C120" s="16" t="n"/>
      <c r="D120" s="14" t="n"/>
      <c r="E120" s="16" t="n"/>
      <c r="F120" s="16" t="n"/>
      <c r="G120" s="16" t="n"/>
      <c r="H120" s="5">
        <f>IF($E120="Paid",$D120*Settings!$B$5,"")</f>
        <v/>
      </c>
      <c r="I120" s="5">
        <f>IF($E120="Paid",$D120*Settings!$B$6,"")</f>
        <v/>
      </c>
      <c r="J120" s="5">
        <f>IF($E120="Paid",$D120*Settings!$B$7,"")</f>
        <v/>
      </c>
      <c r="K120" s="5">
        <f>IF($E120="Paid",$D120*Settings!$B$8,"")</f>
        <v/>
      </c>
      <c r="L120" s="10">
        <f>IF($A120="","",DATE(YEAR($A120),MONTH($A120),1))</f>
        <v/>
      </c>
    </row>
    <row r="121">
      <c r="A121" s="15" t="n"/>
      <c r="B121" s="16" t="n"/>
      <c r="C121" s="16" t="n"/>
      <c r="D121" s="14" t="n"/>
      <c r="E121" s="16" t="n"/>
      <c r="F121" s="16" t="n"/>
      <c r="G121" s="16" t="n"/>
      <c r="H121" s="5">
        <f>IF($E121="Paid",$D121*Settings!$B$5,"")</f>
        <v/>
      </c>
      <c r="I121" s="5">
        <f>IF($E121="Paid",$D121*Settings!$B$6,"")</f>
        <v/>
      </c>
      <c r="J121" s="5">
        <f>IF($E121="Paid",$D121*Settings!$B$7,"")</f>
        <v/>
      </c>
      <c r="K121" s="5">
        <f>IF($E121="Paid",$D121*Settings!$B$8,"")</f>
        <v/>
      </c>
      <c r="L121" s="10">
        <f>IF($A121="","",DATE(YEAR($A121),MONTH($A121),1))</f>
        <v/>
      </c>
    </row>
    <row r="122">
      <c r="A122" s="15" t="n"/>
      <c r="B122" s="16" t="n"/>
      <c r="C122" s="16" t="n"/>
      <c r="D122" s="14" t="n"/>
      <c r="E122" s="16" t="n"/>
      <c r="F122" s="16" t="n"/>
      <c r="G122" s="16" t="n"/>
      <c r="H122" s="5">
        <f>IF($E122="Paid",$D122*Settings!$B$5,"")</f>
        <v/>
      </c>
      <c r="I122" s="5">
        <f>IF($E122="Paid",$D122*Settings!$B$6,"")</f>
        <v/>
      </c>
      <c r="J122" s="5">
        <f>IF($E122="Paid",$D122*Settings!$B$7,"")</f>
        <v/>
      </c>
      <c r="K122" s="5">
        <f>IF($E122="Paid",$D122*Settings!$B$8,"")</f>
        <v/>
      </c>
      <c r="L122" s="10">
        <f>IF($A122="","",DATE(YEAR($A122),MONTH($A122),1))</f>
        <v/>
      </c>
    </row>
    <row r="123">
      <c r="A123" s="15" t="n"/>
      <c r="B123" s="16" t="n"/>
      <c r="C123" s="16" t="n"/>
      <c r="D123" s="14" t="n"/>
      <c r="E123" s="16" t="n"/>
      <c r="F123" s="16" t="n"/>
      <c r="G123" s="16" t="n"/>
      <c r="H123" s="5">
        <f>IF($E123="Paid",$D123*Settings!$B$5,"")</f>
        <v/>
      </c>
      <c r="I123" s="5">
        <f>IF($E123="Paid",$D123*Settings!$B$6,"")</f>
        <v/>
      </c>
      <c r="J123" s="5">
        <f>IF($E123="Paid",$D123*Settings!$B$7,"")</f>
        <v/>
      </c>
      <c r="K123" s="5">
        <f>IF($E123="Paid",$D123*Settings!$B$8,"")</f>
        <v/>
      </c>
      <c r="L123" s="10">
        <f>IF($A123="","",DATE(YEAR($A123),MONTH($A123),1))</f>
        <v/>
      </c>
    </row>
    <row r="124">
      <c r="A124" s="15" t="n"/>
      <c r="B124" s="16" t="n"/>
      <c r="C124" s="16" t="n"/>
      <c r="D124" s="14" t="n"/>
      <c r="E124" s="16" t="n"/>
      <c r="F124" s="16" t="n"/>
      <c r="G124" s="16" t="n"/>
      <c r="H124" s="5">
        <f>IF($E124="Paid",$D124*Settings!$B$5,"")</f>
        <v/>
      </c>
      <c r="I124" s="5">
        <f>IF($E124="Paid",$D124*Settings!$B$6,"")</f>
        <v/>
      </c>
      <c r="J124" s="5">
        <f>IF($E124="Paid",$D124*Settings!$B$7,"")</f>
        <v/>
      </c>
      <c r="K124" s="5">
        <f>IF($E124="Paid",$D124*Settings!$B$8,"")</f>
        <v/>
      </c>
      <c r="L124" s="10">
        <f>IF($A124="","",DATE(YEAR($A124),MONTH($A124),1))</f>
        <v/>
      </c>
    </row>
    <row r="125">
      <c r="A125" s="15" t="n"/>
      <c r="B125" s="16" t="n"/>
      <c r="C125" s="16" t="n"/>
      <c r="D125" s="14" t="n"/>
      <c r="E125" s="16" t="n"/>
      <c r="F125" s="16" t="n"/>
      <c r="G125" s="16" t="n"/>
      <c r="H125" s="5">
        <f>IF($E125="Paid",$D125*Settings!$B$5,"")</f>
        <v/>
      </c>
      <c r="I125" s="5">
        <f>IF($E125="Paid",$D125*Settings!$B$6,"")</f>
        <v/>
      </c>
      <c r="J125" s="5">
        <f>IF($E125="Paid",$D125*Settings!$B$7,"")</f>
        <v/>
      </c>
      <c r="K125" s="5">
        <f>IF($E125="Paid",$D125*Settings!$B$8,"")</f>
        <v/>
      </c>
      <c r="L125" s="10">
        <f>IF($A125="","",DATE(YEAR($A125),MONTH($A125),1))</f>
        <v/>
      </c>
    </row>
    <row r="126">
      <c r="A126" s="15" t="n"/>
      <c r="B126" s="16" t="n"/>
      <c r="C126" s="16" t="n"/>
      <c r="D126" s="14" t="n"/>
      <c r="E126" s="16" t="n"/>
      <c r="F126" s="16" t="n"/>
      <c r="G126" s="16" t="n"/>
      <c r="H126" s="5">
        <f>IF($E126="Paid",$D126*Settings!$B$5,"")</f>
        <v/>
      </c>
      <c r="I126" s="5">
        <f>IF($E126="Paid",$D126*Settings!$B$6,"")</f>
        <v/>
      </c>
      <c r="J126" s="5">
        <f>IF($E126="Paid",$D126*Settings!$B$7,"")</f>
        <v/>
      </c>
      <c r="K126" s="5">
        <f>IF($E126="Paid",$D126*Settings!$B$8,"")</f>
        <v/>
      </c>
      <c r="L126" s="10">
        <f>IF($A126="","",DATE(YEAR($A126),MONTH($A126),1))</f>
        <v/>
      </c>
    </row>
    <row r="127">
      <c r="A127" s="15" t="n"/>
      <c r="B127" s="16" t="n"/>
      <c r="C127" s="16" t="n"/>
      <c r="D127" s="14" t="n"/>
      <c r="E127" s="16" t="n"/>
      <c r="F127" s="16" t="n"/>
      <c r="G127" s="16" t="n"/>
      <c r="H127" s="5">
        <f>IF($E127="Paid",$D127*Settings!$B$5,"")</f>
        <v/>
      </c>
      <c r="I127" s="5">
        <f>IF($E127="Paid",$D127*Settings!$B$6,"")</f>
        <v/>
      </c>
      <c r="J127" s="5">
        <f>IF($E127="Paid",$D127*Settings!$B$7,"")</f>
        <v/>
      </c>
      <c r="K127" s="5">
        <f>IF($E127="Paid",$D127*Settings!$B$8,"")</f>
        <v/>
      </c>
      <c r="L127" s="10">
        <f>IF($A127="","",DATE(YEAR($A127),MONTH($A127),1))</f>
        <v/>
      </c>
    </row>
    <row r="128">
      <c r="A128" s="15" t="n"/>
      <c r="B128" s="16" t="n"/>
      <c r="C128" s="16" t="n"/>
      <c r="D128" s="14" t="n"/>
      <c r="E128" s="16" t="n"/>
      <c r="F128" s="16" t="n"/>
      <c r="G128" s="16" t="n"/>
      <c r="H128" s="5">
        <f>IF($E128="Paid",$D128*Settings!$B$5,"")</f>
        <v/>
      </c>
      <c r="I128" s="5">
        <f>IF($E128="Paid",$D128*Settings!$B$6,"")</f>
        <v/>
      </c>
      <c r="J128" s="5">
        <f>IF($E128="Paid",$D128*Settings!$B$7,"")</f>
        <v/>
      </c>
      <c r="K128" s="5">
        <f>IF($E128="Paid",$D128*Settings!$B$8,"")</f>
        <v/>
      </c>
      <c r="L128" s="10">
        <f>IF($A128="","",DATE(YEAR($A128),MONTH($A128),1))</f>
        <v/>
      </c>
    </row>
    <row r="129">
      <c r="A129" s="15" t="n"/>
      <c r="B129" s="16" t="n"/>
      <c r="C129" s="16" t="n"/>
      <c r="D129" s="14" t="n"/>
      <c r="E129" s="16" t="n"/>
      <c r="F129" s="16" t="n"/>
      <c r="G129" s="16" t="n"/>
      <c r="H129" s="5">
        <f>IF($E129="Paid",$D129*Settings!$B$5,"")</f>
        <v/>
      </c>
      <c r="I129" s="5">
        <f>IF($E129="Paid",$D129*Settings!$B$6,"")</f>
        <v/>
      </c>
      <c r="J129" s="5">
        <f>IF($E129="Paid",$D129*Settings!$B$7,"")</f>
        <v/>
      </c>
      <c r="K129" s="5">
        <f>IF($E129="Paid",$D129*Settings!$B$8,"")</f>
        <v/>
      </c>
      <c r="L129" s="10">
        <f>IF($A129="","",DATE(YEAR($A129),MONTH($A129),1))</f>
        <v/>
      </c>
    </row>
    <row r="130">
      <c r="A130" s="15" t="n"/>
      <c r="B130" s="16" t="n"/>
      <c r="C130" s="16" t="n"/>
      <c r="D130" s="14" t="n"/>
      <c r="E130" s="16" t="n"/>
      <c r="F130" s="16" t="n"/>
      <c r="G130" s="16" t="n"/>
      <c r="H130" s="5">
        <f>IF($E130="Paid",$D130*Settings!$B$5,"")</f>
        <v/>
      </c>
      <c r="I130" s="5">
        <f>IF($E130="Paid",$D130*Settings!$B$6,"")</f>
        <v/>
      </c>
      <c r="J130" s="5">
        <f>IF($E130="Paid",$D130*Settings!$B$7,"")</f>
        <v/>
      </c>
      <c r="K130" s="5">
        <f>IF($E130="Paid",$D130*Settings!$B$8,"")</f>
        <v/>
      </c>
      <c r="L130" s="10">
        <f>IF($A130="","",DATE(YEAR($A130),MONTH($A130),1))</f>
        <v/>
      </c>
    </row>
    <row r="131">
      <c r="A131" s="15" t="n"/>
      <c r="B131" s="16" t="n"/>
      <c r="C131" s="16" t="n"/>
      <c r="D131" s="14" t="n"/>
      <c r="E131" s="16" t="n"/>
      <c r="F131" s="16" t="n"/>
      <c r="G131" s="16" t="n"/>
      <c r="H131" s="5">
        <f>IF($E131="Paid",$D131*Settings!$B$5,"")</f>
        <v/>
      </c>
      <c r="I131" s="5">
        <f>IF($E131="Paid",$D131*Settings!$B$6,"")</f>
        <v/>
      </c>
      <c r="J131" s="5">
        <f>IF($E131="Paid",$D131*Settings!$B$7,"")</f>
        <v/>
      </c>
      <c r="K131" s="5">
        <f>IF($E131="Paid",$D131*Settings!$B$8,"")</f>
        <v/>
      </c>
      <c r="L131" s="10">
        <f>IF($A131="","",DATE(YEAR($A131),MONTH($A131),1))</f>
        <v/>
      </c>
    </row>
    <row r="132">
      <c r="A132" s="15" t="n"/>
      <c r="B132" s="16" t="n"/>
      <c r="C132" s="16" t="n"/>
      <c r="D132" s="14" t="n"/>
      <c r="E132" s="16" t="n"/>
      <c r="F132" s="16" t="n"/>
      <c r="G132" s="16" t="n"/>
      <c r="H132" s="5">
        <f>IF($E132="Paid",$D132*Settings!$B$5,"")</f>
        <v/>
      </c>
      <c r="I132" s="5">
        <f>IF($E132="Paid",$D132*Settings!$B$6,"")</f>
        <v/>
      </c>
      <c r="J132" s="5">
        <f>IF($E132="Paid",$D132*Settings!$B$7,"")</f>
        <v/>
      </c>
      <c r="K132" s="5">
        <f>IF($E132="Paid",$D132*Settings!$B$8,"")</f>
        <v/>
      </c>
      <c r="L132" s="10">
        <f>IF($A132="","",DATE(YEAR($A132),MONTH($A132),1))</f>
        <v/>
      </c>
    </row>
    <row r="133">
      <c r="A133" s="15" t="n"/>
      <c r="B133" s="16" t="n"/>
      <c r="C133" s="16" t="n"/>
      <c r="D133" s="14" t="n"/>
      <c r="E133" s="16" t="n"/>
      <c r="F133" s="16" t="n"/>
      <c r="G133" s="16" t="n"/>
      <c r="H133" s="5">
        <f>IF($E133="Paid",$D133*Settings!$B$5,"")</f>
        <v/>
      </c>
      <c r="I133" s="5">
        <f>IF($E133="Paid",$D133*Settings!$B$6,"")</f>
        <v/>
      </c>
      <c r="J133" s="5">
        <f>IF($E133="Paid",$D133*Settings!$B$7,"")</f>
        <v/>
      </c>
      <c r="K133" s="5">
        <f>IF($E133="Paid",$D133*Settings!$B$8,"")</f>
        <v/>
      </c>
      <c r="L133" s="10">
        <f>IF($A133="","",DATE(YEAR($A133),MONTH($A133),1))</f>
        <v/>
      </c>
    </row>
    <row r="134">
      <c r="A134" s="15" t="n"/>
      <c r="B134" s="16" t="n"/>
      <c r="C134" s="16" t="n"/>
      <c r="D134" s="14" t="n"/>
      <c r="E134" s="16" t="n"/>
      <c r="F134" s="16" t="n"/>
      <c r="G134" s="16" t="n"/>
      <c r="H134" s="5">
        <f>IF($E134="Paid",$D134*Settings!$B$5,"")</f>
        <v/>
      </c>
      <c r="I134" s="5">
        <f>IF($E134="Paid",$D134*Settings!$B$6,"")</f>
        <v/>
      </c>
      <c r="J134" s="5">
        <f>IF($E134="Paid",$D134*Settings!$B$7,"")</f>
        <v/>
      </c>
      <c r="K134" s="5">
        <f>IF($E134="Paid",$D134*Settings!$B$8,"")</f>
        <v/>
      </c>
      <c r="L134" s="10">
        <f>IF($A134="","",DATE(YEAR($A134),MONTH($A134),1))</f>
        <v/>
      </c>
    </row>
    <row r="135">
      <c r="A135" s="15" t="n"/>
      <c r="B135" s="16" t="n"/>
      <c r="C135" s="16" t="n"/>
      <c r="D135" s="14" t="n"/>
      <c r="E135" s="16" t="n"/>
      <c r="F135" s="16" t="n"/>
      <c r="G135" s="16" t="n"/>
      <c r="H135" s="5">
        <f>IF($E135="Paid",$D135*Settings!$B$5,"")</f>
        <v/>
      </c>
      <c r="I135" s="5">
        <f>IF($E135="Paid",$D135*Settings!$B$6,"")</f>
        <v/>
      </c>
      <c r="J135" s="5">
        <f>IF($E135="Paid",$D135*Settings!$B$7,"")</f>
        <v/>
      </c>
      <c r="K135" s="5">
        <f>IF($E135="Paid",$D135*Settings!$B$8,"")</f>
        <v/>
      </c>
      <c r="L135" s="10">
        <f>IF($A135="","",DATE(YEAR($A135),MONTH($A135),1))</f>
        <v/>
      </c>
    </row>
    <row r="136">
      <c r="A136" s="15" t="n"/>
      <c r="B136" s="16" t="n"/>
      <c r="C136" s="16" t="n"/>
      <c r="D136" s="14" t="n"/>
      <c r="E136" s="16" t="n"/>
      <c r="F136" s="16" t="n"/>
      <c r="G136" s="16" t="n"/>
      <c r="H136" s="5">
        <f>IF($E136="Paid",$D136*Settings!$B$5,"")</f>
        <v/>
      </c>
      <c r="I136" s="5">
        <f>IF($E136="Paid",$D136*Settings!$B$6,"")</f>
        <v/>
      </c>
      <c r="J136" s="5">
        <f>IF($E136="Paid",$D136*Settings!$B$7,"")</f>
        <v/>
      </c>
      <c r="K136" s="5">
        <f>IF($E136="Paid",$D136*Settings!$B$8,"")</f>
        <v/>
      </c>
      <c r="L136" s="10">
        <f>IF($A136="","",DATE(YEAR($A136),MONTH($A136),1))</f>
        <v/>
      </c>
    </row>
    <row r="137">
      <c r="A137" s="15" t="n"/>
      <c r="B137" s="16" t="n"/>
      <c r="C137" s="16" t="n"/>
      <c r="D137" s="14" t="n"/>
      <c r="E137" s="16" t="n"/>
      <c r="F137" s="16" t="n"/>
      <c r="G137" s="16" t="n"/>
      <c r="H137" s="5">
        <f>IF($E137="Paid",$D137*Settings!$B$5,"")</f>
        <v/>
      </c>
      <c r="I137" s="5">
        <f>IF($E137="Paid",$D137*Settings!$B$6,"")</f>
        <v/>
      </c>
      <c r="J137" s="5">
        <f>IF($E137="Paid",$D137*Settings!$B$7,"")</f>
        <v/>
      </c>
      <c r="K137" s="5">
        <f>IF($E137="Paid",$D137*Settings!$B$8,"")</f>
        <v/>
      </c>
      <c r="L137" s="10">
        <f>IF($A137="","",DATE(YEAR($A137),MONTH($A137),1))</f>
        <v/>
      </c>
    </row>
    <row r="138">
      <c r="A138" s="15" t="n"/>
      <c r="B138" s="16" t="n"/>
      <c r="C138" s="16" t="n"/>
      <c r="D138" s="14" t="n"/>
      <c r="E138" s="16" t="n"/>
      <c r="F138" s="16" t="n"/>
      <c r="G138" s="16" t="n"/>
      <c r="H138" s="5">
        <f>IF($E138="Paid",$D138*Settings!$B$5,"")</f>
        <v/>
      </c>
      <c r="I138" s="5">
        <f>IF($E138="Paid",$D138*Settings!$B$6,"")</f>
        <v/>
      </c>
      <c r="J138" s="5">
        <f>IF($E138="Paid",$D138*Settings!$B$7,"")</f>
        <v/>
      </c>
      <c r="K138" s="5">
        <f>IF($E138="Paid",$D138*Settings!$B$8,"")</f>
        <v/>
      </c>
      <c r="L138" s="10">
        <f>IF($A138="","",DATE(YEAR($A138),MONTH($A138),1))</f>
        <v/>
      </c>
    </row>
    <row r="139">
      <c r="A139" s="15" t="n"/>
      <c r="B139" s="16" t="n"/>
      <c r="C139" s="16" t="n"/>
      <c r="D139" s="14" t="n"/>
      <c r="E139" s="16" t="n"/>
      <c r="F139" s="16" t="n"/>
      <c r="G139" s="16" t="n"/>
      <c r="H139" s="5">
        <f>IF($E139="Paid",$D139*Settings!$B$5,"")</f>
        <v/>
      </c>
      <c r="I139" s="5">
        <f>IF($E139="Paid",$D139*Settings!$B$6,"")</f>
        <v/>
      </c>
      <c r="J139" s="5">
        <f>IF($E139="Paid",$D139*Settings!$B$7,"")</f>
        <v/>
      </c>
      <c r="K139" s="5">
        <f>IF($E139="Paid",$D139*Settings!$B$8,"")</f>
        <v/>
      </c>
      <c r="L139" s="10">
        <f>IF($A139="","",DATE(YEAR($A139),MONTH($A139),1))</f>
        <v/>
      </c>
    </row>
    <row r="140">
      <c r="A140" s="15" t="n"/>
      <c r="B140" s="16" t="n"/>
      <c r="C140" s="16" t="n"/>
      <c r="D140" s="14" t="n"/>
      <c r="E140" s="16" t="n"/>
      <c r="F140" s="16" t="n"/>
      <c r="G140" s="16" t="n"/>
      <c r="H140" s="5">
        <f>IF($E140="Paid",$D140*Settings!$B$5,"")</f>
        <v/>
      </c>
      <c r="I140" s="5">
        <f>IF($E140="Paid",$D140*Settings!$B$6,"")</f>
        <v/>
      </c>
      <c r="J140" s="5">
        <f>IF($E140="Paid",$D140*Settings!$B$7,"")</f>
        <v/>
      </c>
      <c r="K140" s="5">
        <f>IF($E140="Paid",$D140*Settings!$B$8,"")</f>
        <v/>
      </c>
      <c r="L140" s="10">
        <f>IF($A140="","",DATE(YEAR($A140),MONTH($A140),1))</f>
        <v/>
      </c>
    </row>
    <row r="141">
      <c r="A141" s="15" t="n"/>
      <c r="B141" s="16" t="n"/>
      <c r="C141" s="16" t="n"/>
      <c r="D141" s="14" t="n"/>
      <c r="E141" s="16" t="n"/>
      <c r="F141" s="16" t="n"/>
      <c r="G141" s="16" t="n"/>
      <c r="H141" s="5">
        <f>IF($E141="Paid",$D141*Settings!$B$5,"")</f>
        <v/>
      </c>
      <c r="I141" s="5">
        <f>IF($E141="Paid",$D141*Settings!$B$6,"")</f>
        <v/>
      </c>
      <c r="J141" s="5">
        <f>IF($E141="Paid",$D141*Settings!$B$7,"")</f>
        <v/>
      </c>
      <c r="K141" s="5">
        <f>IF($E141="Paid",$D141*Settings!$B$8,"")</f>
        <v/>
      </c>
      <c r="L141" s="10">
        <f>IF($A141="","",DATE(YEAR($A141),MONTH($A141),1))</f>
        <v/>
      </c>
    </row>
    <row r="142">
      <c r="A142" s="15" t="n"/>
      <c r="B142" s="16" t="n"/>
      <c r="C142" s="16" t="n"/>
      <c r="D142" s="14" t="n"/>
      <c r="E142" s="16" t="n"/>
      <c r="F142" s="16" t="n"/>
      <c r="G142" s="16" t="n"/>
      <c r="H142" s="5">
        <f>IF($E142="Paid",$D142*Settings!$B$5,"")</f>
        <v/>
      </c>
      <c r="I142" s="5">
        <f>IF($E142="Paid",$D142*Settings!$B$6,"")</f>
        <v/>
      </c>
      <c r="J142" s="5">
        <f>IF($E142="Paid",$D142*Settings!$B$7,"")</f>
        <v/>
      </c>
      <c r="K142" s="5">
        <f>IF($E142="Paid",$D142*Settings!$B$8,"")</f>
        <v/>
      </c>
      <c r="L142" s="10">
        <f>IF($A142="","",DATE(YEAR($A142),MONTH($A142),1))</f>
        <v/>
      </c>
    </row>
    <row r="143">
      <c r="A143" s="15" t="n"/>
      <c r="B143" s="16" t="n"/>
      <c r="C143" s="16" t="n"/>
      <c r="D143" s="14" t="n"/>
      <c r="E143" s="16" t="n"/>
      <c r="F143" s="16" t="n"/>
      <c r="G143" s="16" t="n"/>
      <c r="H143" s="5">
        <f>IF($E143="Paid",$D143*Settings!$B$5,"")</f>
        <v/>
      </c>
      <c r="I143" s="5">
        <f>IF($E143="Paid",$D143*Settings!$B$6,"")</f>
        <v/>
      </c>
      <c r="J143" s="5">
        <f>IF($E143="Paid",$D143*Settings!$B$7,"")</f>
        <v/>
      </c>
      <c r="K143" s="5">
        <f>IF($E143="Paid",$D143*Settings!$B$8,"")</f>
        <v/>
      </c>
      <c r="L143" s="10">
        <f>IF($A143="","",DATE(YEAR($A143),MONTH($A143),1))</f>
        <v/>
      </c>
    </row>
    <row r="144">
      <c r="A144" s="15" t="n"/>
      <c r="B144" s="16" t="n"/>
      <c r="C144" s="16" t="n"/>
      <c r="D144" s="14" t="n"/>
      <c r="E144" s="16" t="n"/>
      <c r="F144" s="16" t="n"/>
      <c r="G144" s="16" t="n"/>
      <c r="H144" s="5">
        <f>IF($E144="Paid",$D144*Settings!$B$5,"")</f>
        <v/>
      </c>
      <c r="I144" s="5">
        <f>IF($E144="Paid",$D144*Settings!$B$6,"")</f>
        <v/>
      </c>
      <c r="J144" s="5">
        <f>IF($E144="Paid",$D144*Settings!$B$7,"")</f>
        <v/>
      </c>
      <c r="K144" s="5">
        <f>IF($E144="Paid",$D144*Settings!$B$8,"")</f>
        <v/>
      </c>
      <c r="L144" s="10">
        <f>IF($A144="","",DATE(YEAR($A144),MONTH($A144),1))</f>
        <v/>
      </c>
    </row>
    <row r="145">
      <c r="A145" s="15" t="n"/>
      <c r="B145" s="16" t="n"/>
      <c r="C145" s="16" t="n"/>
      <c r="D145" s="14" t="n"/>
      <c r="E145" s="16" t="n"/>
      <c r="F145" s="16" t="n"/>
      <c r="G145" s="16" t="n"/>
      <c r="H145" s="5">
        <f>IF($E145="Paid",$D145*Settings!$B$5,"")</f>
        <v/>
      </c>
      <c r="I145" s="5">
        <f>IF($E145="Paid",$D145*Settings!$B$6,"")</f>
        <v/>
      </c>
      <c r="J145" s="5">
        <f>IF($E145="Paid",$D145*Settings!$B$7,"")</f>
        <v/>
      </c>
      <c r="K145" s="5">
        <f>IF($E145="Paid",$D145*Settings!$B$8,"")</f>
        <v/>
      </c>
      <c r="L145" s="10">
        <f>IF($A145="","",DATE(YEAR($A145),MONTH($A145),1))</f>
        <v/>
      </c>
    </row>
    <row r="146">
      <c r="A146" s="15" t="n"/>
      <c r="B146" s="16" t="n"/>
      <c r="C146" s="16" t="n"/>
      <c r="D146" s="14" t="n"/>
      <c r="E146" s="16" t="n"/>
      <c r="F146" s="16" t="n"/>
      <c r="G146" s="16" t="n"/>
      <c r="H146" s="5">
        <f>IF($E146="Paid",$D146*Settings!$B$5,"")</f>
        <v/>
      </c>
      <c r="I146" s="5">
        <f>IF($E146="Paid",$D146*Settings!$B$6,"")</f>
        <v/>
      </c>
      <c r="J146" s="5">
        <f>IF($E146="Paid",$D146*Settings!$B$7,"")</f>
        <v/>
      </c>
      <c r="K146" s="5">
        <f>IF($E146="Paid",$D146*Settings!$B$8,"")</f>
        <v/>
      </c>
      <c r="L146" s="10">
        <f>IF($A146="","",DATE(YEAR($A146),MONTH($A146),1))</f>
        <v/>
      </c>
    </row>
    <row r="147">
      <c r="A147" s="15" t="n"/>
      <c r="B147" s="16" t="n"/>
      <c r="C147" s="16" t="n"/>
      <c r="D147" s="14" t="n"/>
      <c r="E147" s="16" t="n"/>
      <c r="F147" s="16" t="n"/>
      <c r="G147" s="16" t="n"/>
      <c r="H147" s="5">
        <f>IF($E147="Paid",$D147*Settings!$B$5,"")</f>
        <v/>
      </c>
      <c r="I147" s="5">
        <f>IF($E147="Paid",$D147*Settings!$B$6,"")</f>
        <v/>
      </c>
      <c r="J147" s="5">
        <f>IF($E147="Paid",$D147*Settings!$B$7,"")</f>
        <v/>
      </c>
      <c r="K147" s="5">
        <f>IF($E147="Paid",$D147*Settings!$B$8,"")</f>
        <v/>
      </c>
      <c r="L147" s="10">
        <f>IF($A147="","",DATE(YEAR($A147),MONTH($A147),1))</f>
        <v/>
      </c>
    </row>
    <row r="148">
      <c r="A148" s="15" t="n"/>
      <c r="B148" s="16" t="n"/>
      <c r="C148" s="16" t="n"/>
      <c r="D148" s="14" t="n"/>
      <c r="E148" s="16" t="n"/>
      <c r="F148" s="16" t="n"/>
      <c r="G148" s="16" t="n"/>
      <c r="H148" s="5">
        <f>IF($E148="Paid",$D148*Settings!$B$5,"")</f>
        <v/>
      </c>
      <c r="I148" s="5">
        <f>IF($E148="Paid",$D148*Settings!$B$6,"")</f>
        <v/>
      </c>
      <c r="J148" s="5">
        <f>IF($E148="Paid",$D148*Settings!$B$7,"")</f>
        <v/>
      </c>
      <c r="K148" s="5">
        <f>IF($E148="Paid",$D148*Settings!$B$8,"")</f>
        <v/>
      </c>
      <c r="L148" s="10">
        <f>IF($A148="","",DATE(YEAR($A148),MONTH($A148),1))</f>
        <v/>
      </c>
    </row>
    <row r="149">
      <c r="A149" s="15" t="n"/>
      <c r="B149" s="16" t="n"/>
      <c r="C149" s="16" t="n"/>
      <c r="D149" s="14" t="n"/>
      <c r="E149" s="16" t="n"/>
      <c r="F149" s="16" t="n"/>
      <c r="G149" s="16" t="n"/>
      <c r="H149" s="5">
        <f>IF($E149="Paid",$D149*Settings!$B$5,"")</f>
        <v/>
      </c>
      <c r="I149" s="5">
        <f>IF($E149="Paid",$D149*Settings!$B$6,"")</f>
        <v/>
      </c>
      <c r="J149" s="5">
        <f>IF($E149="Paid",$D149*Settings!$B$7,"")</f>
        <v/>
      </c>
      <c r="K149" s="5">
        <f>IF($E149="Paid",$D149*Settings!$B$8,"")</f>
        <v/>
      </c>
      <c r="L149" s="10">
        <f>IF($A149="","",DATE(YEAR($A149),MONTH($A149),1))</f>
        <v/>
      </c>
    </row>
    <row r="150">
      <c r="A150" s="15" t="n"/>
      <c r="B150" s="16" t="n"/>
      <c r="C150" s="16" t="n"/>
      <c r="D150" s="14" t="n"/>
      <c r="E150" s="16" t="n"/>
      <c r="F150" s="16" t="n"/>
      <c r="G150" s="16" t="n"/>
      <c r="H150" s="5">
        <f>IF($E150="Paid",$D150*Settings!$B$5,"")</f>
        <v/>
      </c>
      <c r="I150" s="5">
        <f>IF($E150="Paid",$D150*Settings!$B$6,"")</f>
        <v/>
      </c>
      <c r="J150" s="5">
        <f>IF($E150="Paid",$D150*Settings!$B$7,"")</f>
        <v/>
      </c>
      <c r="K150" s="5">
        <f>IF($E150="Paid",$D150*Settings!$B$8,"")</f>
        <v/>
      </c>
      <c r="L150" s="10">
        <f>IF($A150="","",DATE(YEAR($A150),MONTH($A150),1))</f>
        <v/>
      </c>
    </row>
    <row r="151">
      <c r="A151" s="15" t="n"/>
      <c r="B151" s="16" t="n"/>
      <c r="C151" s="16" t="n"/>
      <c r="D151" s="14" t="n"/>
      <c r="E151" s="16" t="n"/>
      <c r="F151" s="16" t="n"/>
      <c r="G151" s="16" t="n"/>
      <c r="H151" s="5">
        <f>IF($E151="Paid",$D151*Settings!$B$5,"")</f>
        <v/>
      </c>
      <c r="I151" s="5">
        <f>IF($E151="Paid",$D151*Settings!$B$6,"")</f>
        <v/>
      </c>
      <c r="J151" s="5">
        <f>IF($E151="Paid",$D151*Settings!$B$7,"")</f>
        <v/>
      </c>
      <c r="K151" s="5">
        <f>IF($E151="Paid",$D151*Settings!$B$8,"")</f>
        <v/>
      </c>
      <c r="L151" s="10">
        <f>IF($A151="","",DATE(YEAR($A151),MONTH($A151),1))</f>
        <v/>
      </c>
    </row>
  </sheetData>
  <dataValidations count="2">
    <dataValidation sqref="E2:E151" showDropDown="0" showInputMessage="0" showErrorMessage="0" allowBlank="1" type="list">
      <formula1>"Paid,Owed,Refunded"</formula1>
    </dataValidation>
    <dataValidation sqref="F2:F151" showDropDown="0" showInputMessage="0" showErrorMessage="0" allowBlank="1" type="list">
      <formula1>"Bank transfer,WiPay,Fygaro,Cash,Other"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5" customWidth="1" min="4" max="4"/>
    <col width="15" customWidth="1" min="5" max="5"/>
    <col width="34" customWidth="1" min="6" max="6"/>
    <col width="11" customWidth="1" min="7" max="7"/>
  </cols>
  <sheetData>
    <row r="1">
      <c r="A1" s="8" t="inlineStr">
        <is>
          <t>Date</t>
        </is>
      </c>
      <c r="B1" s="8" t="inlineStr">
        <is>
          <t>What</t>
        </is>
      </c>
      <c r="C1" s="8" t="inlineStr">
        <is>
          <t>Category</t>
        </is>
      </c>
      <c r="D1" s="8" t="inlineStr">
        <is>
          <t>Amount (TT$)</t>
        </is>
      </c>
      <c r="E1" s="8" t="inlineStr">
        <is>
          <t>Receipt saved?</t>
        </is>
      </c>
      <c r="F1" s="8" t="inlineStr">
        <is>
          <t>Notes</t>
        </is>
      </c>
      <c r="G1" s="8" t="inlineStr">
        <is>
          <t>Month</t>
        </is>
      </c>
    </row>
    <row r="2">
      <c r="A2" s="17" t="n">
        <v>46308</v>
      </c>
      <c r="B2" s="2" t="inlineStr">
        <is>
          <t>Claude Pro plan</t>
        </is>
      </c>
      <c r="C2" s="2" t="inlineStr">
        <is>
          <t>Claude</t>
        </is>
      </c>
      <c r="D2" s="14" t="n">
        <v>140</v>
      </c>
      <c r="E2" s="2" t="inlineStr">
        <is>
          <t>Yes</t>
        </is>
      </c>
      <c r="F2" s="2" t="inlineStr">
        <is>
          <t>Example row: replace or delete</t>
        </is>
      </c>
      <c r="G2" s="10">
        <f>IF($A2="","",DATE(YEAR($A2),MONTH($A2),1))</f>
        <v/>
      </c>
    </row>
    <row r="3">
      <c r="A3" s="17" t="n"/>
      <c r="B3" s="2" t="n"/>
      <c r="C3" s="2" t="n"/>
      <c r="D3" s="14" t="n"/>
      <c r="E3" s="2" t="n"/>
      <c r="F3" s="2" t="n"/>
      <c r="G3" s="10">
        <f>IF($A3="","",DATE(YEAR($A3),MONTH($A3),1))</f>
        <v/>
      </c>
    </row>
    <row r="4">
      <c r="A4" s="17" t="n"/>
      <c r="B4" s="2" t="n"/>
      <c r="C4" s="2" t="n"/>
      <c r="D4" s="14" t="n"/>
      <c r="E4" s="2" t="n"/>
      <c r="F4" s="2" t="n"/>
      <c r="G4" s="10">
        <f>IF($A4="","",DATE(YEAR($A4),MONTH($A4),1))</f>
        <v/>
      </c>
    </row>
    <row r="5">
      <c r="A5" s="17" t="n"/>
      <c r="B5" s="2" t="n"/>
      <c r="C5" s="2" t="n"/>
      <c r="D5" s="14" t="n"/>
      <c r="E5" s="2" t="n"/>
      <c r="F5" s="2" t="n"/>
      <c r="G5" s="10">
        <f>IF($A5="","",DATE(YEAR($A5),MONTH($A5),1))</f>
        <v/>
      </c>
    </row>
    <row r="6">
      <c r="A6" s="17" t="n"/>
      <c r="B6" s="2" t="n"/>
      <c r="C6" s="2" t="n"/>
      <c r="D6" s="14" t="n"/>
      <c r="E6" s="2" t="n"/>
      <c r="F6" s="2" t="n"/>
      <c r="G6" s="10">
        <f>IF($A6="","",DATE(YEAR($A6),MONTH($A6),1))</f>
        <v/>
      </c>
    </row>
    <row r="7">
      <c r="A7" s="17" t="n"/>
      <c r="B7" s="2" t="n"/>
      <c r="C7" s="2" t="n"/>
      <c r="D7" s="14" t="n"/>
      <c r="E7" s="2" t="n"/>
      <c r="F7" s="2" t="n"/>
      <c r="G7" s="10">
        <f>IF($A7="","",DATE(YEAR($A7),MONTH($A7),1))</f>
        <v/>
      </c>
    </row>
    <row r="8">
      <c r="A8" s="17" t="n"/>
      <c r="B8" s="2" t="n"/>
      <c r="C8" s="2" t="n"/>
      <c r="D8" s="14" t="n"/>
      <c r="E8" s="2" t="n"/>
      <c r="F8" s="2" t="n"/>
      <c r="G8" s="10">
        <f>IF($A8="","",DATE(YEAR($A8),MONTH($A8),1))</f>
        <v/>
      </c>
    </row>
    <row r="9">
      <c r="A9" s="17" t="n"/>
      <c r="B9" s="2" t="n"/>
      <c r="C9" s="2" t="n"/>
      <c r="D9" s="14" t="n"/>
      <c r="E9" s="2" t="n"/>
      <c r="F9" s="2" t="n"/>
      <c r="G9" s="10">
        <f>IF($A9="","",DATE(YEAR($A9),MONTH($A9),1))</f>
        <v/>
      </c>
    </row>
    <row r="10">
      <c r="A10" s="17" t="n"/>
      <c r="B10" s="2" t="n"/>
      <c r="C10" s="2" t="n"/>
      <c r="D10" s="14" t="n"/>
      <c r="E10" s="2" t="n"/>
      <c r="F10" s="2" t="n"/>
      <c r="G10" s="10">
        <f>IF($A10="","",DATE(YEAR($A10),MONTH($A10),1))</f>
        <v/>
      </c>
    </row>
    <row r="11">
      <c r="A11" s="17" t="n"/>
      <c r="B11" s="2" t="n"/>
      <c r="C11" s="2" t="n"/>
      <c r="D11" s="14" t="n"/>
      <c r="E11" s="2" t="n"/>
      <c r="F11" s="2" t="n"/>
      <c r="G11" s="10">
        <f>IF($A11="","",DATE(YEAR($A11),MONTH($A11),1))</f>
        <v/>
      </c>
    </row>
    <row r="12">
      <c r="A12" s="17" t="n"/>
      <c r="B12" s="2" t="n"/>
      <c r="C12" s="2" t="n"/>
      <c r="D12" s="14" t="n"/>
      <c r="E12" s="2" t="n"/>
      <c r="F12" s="2" t="n"/>
      <c r="G12" s="10">
        <f>IF($A12="","",DATE(YEAR($A12),MONTH($A12),1))</f>
        <v/>
      </c>
    </row>
    <row r="13">
      <c r="A13" s="17" t="n"/>
      <c r="B13" s="2" t="n"/>
      <c r="C13" s="2" t="n"/>
      <c r="D13" s="14" t="n"/>
      <c r="E13" s="2" t="n"/>
      <c r="F13" s="2" t="n"/>
      <c r="G13" s="10">
        <f>IF($A13="","",DATE(YEAR($A13),MONTH($A13),1))</f>
        <v/>
      </c>
    </row>
    <row r="14">
      <c r="A14" s="17" t="n"/>
      <c r="B14" s="2" t="n"/>
      <c r="C14" s="2" t="n"/>
      <c r="D14" s="14" t="n"/>
      <c r="E14" s="2" t="n"/>
      <c r="F14" s="2" t="n"/>
      <c r="G14" s="10">
        <f>IF($A14="","",DATE(YEAR($A14),MONTH($A14),1))</f>
        <v/>
      </c>
    </row>
    <row r="15">
      <c r="A15" s="17" t="n"/>
      <c r="B15" s="2" t="n"/>
      <c r="C15" s="2" t="n"/>
      <c r="D15" s="14" t="n"/>
      <c r="E15" s="2" t="n"/>
      <c r="F15" s="2" t="n"/>
      <c r="G15" s="10">
        <f>IF($A15="","",DATE(YEAR($A15),MONTH($A15),1))</f>
        <v/>
      </c>
    </row>
    <row r="16">
      <c r="A16" s="17" t="n"/>
      <c r="B16" s="2" t="n"/>
      <c r="C16" s="2" t="n"/>
      <c r="D16" s="14" t="n"/>
      <c r="E16" s="2" t="n"/>
      <c r="F16" s="2" t="n"/>
      <c r="G16" s="10">
        <f>IF($A16="","",DATE(YEAR($A16),MONTH($A16),1))</f>
        <v/>
      </c>
    </row>
    <row r="17">
      <c r="A17" s="17" t="n"/>
      <c r="B17" s="2" t="n"/>
      <c r="C17" s="2" t="n"/>
      <c r="D17" s="14" t="n"/>
      <c r="E17" s="2" t="n"/>
      <c r="F17" s="2" t="n"/>
      <c r="G17" s="10">
        <f>IF($A17="","",DATE(YEAR($A17),MONTH($A17),1))</f>
        <v/>
      </c>
    </row>
    <row r="18">
      <c r="A18" s="17" t="n"/>
      <c r="B18" s="2" t="n"/>
      <c r="C18" s="2" t="n"/>
      <c r="D18" s="14" t="n"/>
      <c r="E18" s="2" t="n"/>
      <c r="F18" s="2" t="n"/>
      <c r="G18" s="10">
        <f>IF($A18="","",DATE(YEAR($A18),MONTH($A18),1))</f>
        <v/>
      </c>
    </row>
    <row r="19">
      <c r="A19" s="17" t="n"/>
      <c r="B19" s="2" t="n"/>
      <c r="C19" s="2" t="n"/>
      <c r="D19" s="14" t="n"/>
      <c r="E19" s="2" t="n"/>
      <c r="F19" s="2" t="n"/>
      <c r="G19" s="10">
        <f>IF($A19="","",DATE(YEAR($A19),MONTH($A19),1))</f>
        <v/>
      </c>
    </row>
    <row r="20">
      <c r="A20" s="17" t="n"/>
      <c r="B20" s="2" t="n"/>
      <c r="C20" s="2" t="n"/>
      <c r="D20" s="14" t="n"/>
      <c r="E20" s="2" t="n"/>
      <c r="F20" s="2" t="n"/>
      <c r="G20" s="10">
        <f>IF($A20="","",DATE(YEAR($A20),MONTH($A20),1))</f>
        <v/>
      </c>
    </row>
    <row r="21">
      <c r="A21" s="17" t="n"/>
      <c r="B21" s="2" t="n"/>
      <c r="C21" s="2" t="n"/>
      <c r="D21" s="14" t="n"/>
      <c r="E21" s="2" t="n"/>
      <c r="F21" s="2" t="n"/>
      <c r="G21" s="10">
        <f>IF($A21="","",DATE(YEAR($A21),MONTH($A21),1))</f>
        <v/>
      </c>
    </row>
    <row r="22">
      <c r="A22" s="17" t="n"/>
      <c r="B22" s="2" t="n"/>
      <c r="C22" s="2" t="n"/>
      <c r="D22" s="14" t="n"/>
      <c r="E22" s="2" t="n"/>
      <c r="F22" s="2" t="n"/>
      <c r="G22" s="10">
        <f>IF($A22="","",DATE(YEAR($A22),MONTH($A22),1))</f>
        <v/>
      </c>
    </row>
    <row r="23">
      <c r="A23" s="17" t="n"/>
      <c r="B23" s="2" t="n"/>
      <c r="C23" s="2" t="n"/>
      <c r="D23" s="14" t="n"/>
      <c r="E23" s="2" t="n"/>
      <c r="F23" s="2" t="n"/>
      <c r="G23" s="10">
        <f>IF($A23="","",DATE(YEAR($A23),MONTH($A23),1))</f>
        <v/>
      </c>
    </row>
    <row r="24">
      <c r="A24" s="17" t="n"/>
      <c r="B24" s="2" t="n"/>
      <c r="C24" s="2" t="n"/>
      <c r="D24" s="14" t="n"/>
      <c r="E24" s="2" t="n"/>
      <c r="F24" s="2" t="n"/>
      <c r="G24" s="10">
        <f>IF($A24="","",DATE(YEAR($A24),MONTH($A24),1))</f>
        <v/>
      </c>
    </row>
    <row r="25">
      <c r="A25" s="17" t="n"/>
      <c r="B25" s="2" t="n"/>
      <c r="C25" s="2" t="n"/>
      <c r="D25" s="14" t="n"/>
      <c r="E25" s="2" t="n"/>
      <c r="F25" s="2" t="n"/>
      <c r="G25" s="10">
        <f>IF($A25="","",DATE(YEAR($A25),MONTH($A25),1))</f>
        <v/>
      </c>
    </row>
    <row r="26">
      <c r="A26" s="17" t="n"/>
      <c r="B26" s="2" t="n"/>
      <c r="C26" s="2" t="n"/>
      <c r="D26" s="14" t="n"/>
      <c r="E26" s="2" t="n"/>
      <c r="F26" s="2" t="n"/>
      <c r="G26" s="10">
        <f>IF($A26="","",DATE(YEAR($A26),MONTH($A26),1))</f>
        <v/>
      </c>
    </row>
    <row r="27">
      <c r="A27" s="17" t="n"/>
      <c r="B27" s="2" t="n"/>
      <c r="C27" s="2" t="n"/>
      <c r="D27" s="14" t="n"/>
      <c r="E27" s="2" t="n"/>
      <c r="F27" s="2" t="n"/>
      <c r="G27" s="10">
        <f>IF($A27="","",DATE(YEAR($A27),MONTH($A27),1))</f>
        <v/>
      </c>
    </row>
    <row r="28">
      <c r="A28" s="17" t="n"/>
      <c r="B28" s="2" t="n"/>
      <c r="C28" s="2" t="n"/>
      <c r="D28" s="14" t="n"/>
      <c r="E28" s="2" t="n"/>
      <c r="F28" s="2" t="n"/>
      <c r="G28" s="10">
        <f>IF($A28="","",DATE(YEAR($A28),MONTH($A28),1))</f>
        <v/>
      </c>
    </row>
    <row r="29">
      <c r="A29" s="17" t="n"/>
      <c r="B29" s="2" t="n"/>
      <c r="C29" s="2" t="n"/>
      <c r="D29" s="14" t="n"/>
      <c r="E29" s="2" t="n"/>
      <c r="F29" s="2" t="n"/>
      <c r="G29" s="10">
        <f>IF($A29="","",DATE(YEAR($A29),MONTH($A29),1))</f>
        <v/>
      </c>
    </row>
    <row r="30">
      <c r="A30" s="17" t="n"/>
      <c r="B30" s="2" t="n"/>
      <c r="C30" s="2" t="n"/>
      <c r="D30" s="14" t="n"/>
      <c r="E30" s="2" t="n"/>
      <c r="F30" s="2" t="n"/>
      <c r="G30" s="10">
        <f>IF($A30="","",DATE(YEAR($A30),MONTH($A30),1))</f>
        <v/>
      </c>
    </row>
    <row r="31">
      <c r="A31" s="17" t="n"/>
      <c r="B31" s="2" t="n"/>
      <c r="C31" s="2" t="n"/>
      <c r="D31" s="14" t="n"/>
      <c r="E31" s="2" t="n"/>
      <c r="F31" s="2" t="n"/>
      <c r="G31" s="10">
        <f>IF($A31="","",DATE(YEAR($A31),MONTH($A31),1))</f>
        <v/>
      </c>
    </row>
    <row r="32">
      <c r="A32" s="17" t="n"/>
      <c r="B32" s="2" t="n"/>
      <c r="C32" s="2" t="n"/>
      <c r="D32" s="14" t="n"/>
      <c r="E32" s="2" t="n"/>
      <c r="F32" s="2" t="n"/>
      <c r="G32" s="10">
        <f>IF($A32="","",DATE(YEAR($A32),MONTH($A32),1))</f>
        <v/>
      </c>
    </row>
    <row r="33">
      <c r="A33" s="17" t="n"/>
      <c r="B33" s="2" t="n"/>
      <c r="C33" s="2" t="n"/>
      <c r="D33" s="14" t="n"/>
      <c r="E33" s="2" t="n"/>
      <c r="F33" s="2" t="n"/>
      <c r="G33" s="10">
        <f>IF($A33="","",DATE(YEAR($A33),MONTH($A33),1))</f>
        <v/>
      </c>
    </row>
    <row r="34">
      <c r="A34" s="17" t="n"/>
      <c r="B34" s="2" t="n"/>
      <c r="C34" s="2" t="n"/>
      <c r="D34" s="14" t="n"/>
      <c r="E34" s="2" t="n"/>
      <c r="F34" s="2" t="n"/>
      <c r="G34" s="10">
        <f>IF($A34="","",DATE(YEAR($A34),MONTH($A34),1))</f>
        <v/>
      </c>
    </row>
    <row r="35">
      <c r="A35" s="17" t="n"/>
      <c r="B35" s="2" t="n"/>
      <c r="C35" s="2" t="n"/>
      <c r="D35" s="14" t="n"/>
      <c r="E35" s="2" t="n"/>
      <c r="F35" s="2" t="n"/>
      <c r="G35" s="10">
        <f>IF($A35="","",DATE(YEAR($A35),MONTH($A35),1))</f>
        <v/>
      </c>
    </row>
    <row r="36">
      <c r="A36" s="17" t="n"/>
      <c r="B36" s="2" t="n"/>
      <c r="C36" s="2" t="n"/>
      <c r="D36" s="14" t="n"/>
      <c r="E36" s="2" t="n"/>
      <c r="F36" s="2" t="n"/>
      <c r="G36" s="10">
        <f>IF($A36="","",DATE(YEAR($A36),MONTH($A36),1))</f>
        <v/>
      </c>
    </row>
    <row r="37">
      <c r="A37" s="17" t="n"/>
      <c r="B37" s="2" t="n"/>
      <c r="C37" s="2" t="n"/>
      <c r="D37" s="14" t="n"/>
      <c r="E37" s="2" t="n"/>
      <c r="F37" s="2" t="n"/>
      <c r="G37" s="10">
        <f>IF($A37="","",DATE(YEAR($A37),MONTH($A37),1))</f>
        <v/>
      </c>
    </row>
    <row r="38">
      <c r="A38" s="17" t="n"/>
      <c r="B38" s="2" t="n"/>
      <c r="C38" s="2" t="n"/>
      <c r="D38" s="14" t="n"/>
      <c r="E38" s="2" t="n"/>
      <c r="F38" s="2" t="n"/>
      <c r="G38" s="10">
        <f>IF($A38="","",DATE(YEAR($A38),MONTH($A38),1))</f>
        <v/>
      </c>
    </row>
    <row r="39">
      <c r="A39" s="17" t="n"/>
      <c r="B39" s="2" t="n"/>
      <c r="C39" s="2" t="n"/>
      <c r="D39" s="14" t="n"/>
      <c r="E39" s="2" t="n"/>
      <c r="F39" s="2" t="n"/>
      <c r="G39" s="10">
        <f>IF($A39="","",DATE(YEAR($A39),MONTH($A39),1))</f>
        <v/>
      </c>
    </row>
    <row r="40">
      <c r="A40" s="17" t="n"/>
      <c r="B40" s="2" t="n"/>
      <c r="C40" s="2" t="n"/>
      <c r="D40" s="14" t="n"/>
      <c r="E40" s="2" t="n"/>
      <c r="F40" s="2" t="n"/>
      <c r="G40" s="10">
        <f>IF($A40="","",DATE(YEAR($A40),MONTH($A40),1))</f>
        <v/>
      </c>
    </row>
    <row r="41">
      <c r="A41" s="17" t="n"/>
      <c r="B41" s="2" t="n"/>
      <c r="C41" s="2" t="n"/>
      <c r="D41" s="14" t="n"/>
      <c r="E41" s="2" t="n"/>
      <c r="F41" s="2" t="n"/>
      <c r="G41" s="10">
        <f>IF($A41="","",DATE(YEAR($A41),MONTH($A41),1))</f>
        <v/>
      </c>
    </row>
    <row r="42">
      <c r="A42" s="17" t="n"/>
      <c r="B42" s="2" t="n"/>
      <c r="C42" s="2" t="n"/>
      <c r="D42" s="14" t="n"/>
      <c r="E42" s="2" t="n"/>
      <c r="F42" s="2" t="n"/>
      <c r="G42" s="10">
        <f>IF($A42="","",DATE(YEAR($A42),MONTH($A42),1))</f>
        <v/>
      </c>
    </row>
    <row r="43">
      <c r="A43" s="17" t="n"/>
      <c r="B43" s="2" t="n"/>
      <c r="C43" s="2" t="n"/>
      <c r="D43" s="14" t="n"/>
      <c r="E43" s="2" t="n"/>
      <c r="F43" s="2" t="n"/>
      <c r="G43" s="10">
        <f>IF($A43="","",DATE(YEAR($A43),MONTH($A43),1))</f>
        <v/>
      </c>
    </row>
    <row r="44">
      <c r="A44" s="17" t="n"/>
      <c r="B44" s="2" t="n"/>
      <c r="C44" s="2" t="n"/>
      <c r="D44" s="14" t="n"/>
      <c r="E44" s="2" t="n"/>
      <c r="F44" s="2" t="n"/>
      <c r="G44" s="10">
        <f>IF($A44="","",DATE(YEAR($A44),MONTH($A44),1))</f>
        <v/>
      </c>
    </row>
    <row r="45">
      <c r="A45" s="17" t="n"/>
      <c r="B45" s="2" t="n"/>
      <c r="C45" s="2" t="n"/>
      <c r="D45" s="14" t="n"/>
      <c r="E45" s="2" t="n"/>
      <c r="F45" s="2" t="n"/>
      <c r="G45" s="10">
        <f>IF($A45="","",DATE(YEAR($A45),MONTH($A45),1))</f>
        <v/>
      </c>
    </row>
    <row r="46">
      <c r="A46" s="17" t="n"/>
      <c r="B46" s="2" t="n"/>
      <c r="C46" s="2" t="n"/>
      <c r="D46" s="14" t="n"/>
      <c r="E46" s="2" t="n"/>
      <c r="F46" s="2" t="n"/>
      <c r="G46" s="10">
        <f>IF($A46="","",DATE(YEAR($A46),MONTH($A46),1))</f>
        <v/>
      </c>
    </row>
    <row r="47">
      <c r="A47" s="17" t="n"/>
      <c r="B47" s="2" t="n"/>
      <c r="C47" s="2" t="n"/>
      <c r="D47" s="14" t="n"/>
      <c r="E47" s="2" t="n"/>
      <c r="F47" s="2" t="n"/>
      <c r="G47" s="10">
        <f>IF($A47="","",DATE(YEAR($A47),MONTH($A47),1))</f>
        <v/>
      </c>
    </row>
    <row r="48">
      <c r="A48" s="17" t="n"/>
      <c r="B48" s="2" t="n"/>
      <c r="C48" s="2" t="n"/>
      <c r="D48" s="14" t="n"/>
      <c r="E48" s="2" t="n"/>
      <c r="F48" s="2" t="n"/>
      <c r="G48" s="10">
        <f>IF($A48="","",DATE(YEAR($A48),MONTH($A48),1))</f>
        <v/>
      </c>
    </row>
    <row r="49">
      <c r="A49" s="17" t="n"/>
      <c r="B49" s="2" t="n"/>
      <c r="C49" s="2" t="n"/>
      <c r="D49" s="14" t="n"/>
      <c r="E49" s="2" t="n"/>
      <c r="F49" s="2" t="n"/>
      <c r="G49" s="10">
        <f>IF($A49="","",DATE(YEAR($A49),MONTH($A49),1))</f>
        <v/>
      </c>
    </row>
    <row r="50">
      <c r="A50" s="17" t="n"/>
      <c r="B50" s="2" t="n"/>
      <c r="C50" s="2" t="n"/>
      <c r="D50" s="14" t="n"/>
      <c r="E50" s="2" t="n"/>
      <c r="F50" s="2" t="n"/>
      <c r="G50" s="10">
        <f>IF($A50="","",DATE(YEAR($A50),MONTH($A50),1))</f>
        <v/>
      </c>
    </row>
    <row r="51">
      <c r="A51" s="17" t="n"/>
      <c r="B51" s="2" t="n"/>
      <c r="C51" s="2" t="n"/>
      <c r="D51" s="14" t="n"/>
      <c r="E51" s="2" t="n"/>
      <c r="F51" s="2" t="n"/>
      <c r="G51" s="10">
        <f>IF($A51="","",DATE(YEAR($A51),MONTH($A51),1))</f>
        <v/>
      </c>
    </row>
    <row r="52">
      <c r="A52" s="17" t="n"/>
      <c r="B52" s="2" t="n"/>
      <c r="C52" s="2" t="n"/>
      <c r="D52" s="14" t="n"/>
      <c r="E52" s="2" t="n"/>
      <c r="F52" s="2" t="n"/>
      <c r="G52" s="10">
        <f>IF($A52="","",DATE(YEAR($A52),MONTH($A52),1))</f>
        <v/>
      </c>
    </row>
    <row r="53">
      <c r="A53" s="17" t="n"/>
      <c r="B53" s="2" t="n"/>
      <c r="C53" s="2" t="n"/>
      <c r="D53" s="14" t="n"/>
      <c r="E53" s="2" t="n"/>
      <c r="F53" s="2" t="n"/>
      <c r="G53" s="10">
        <f>IF($A53="","",DATE(YEAR($A53),MONTH($A53),1))</f>
        <v/>
      </c>
    </row>
    <row r="54">
      <c r="A54" s="17" t="n"/>
      <c r="B54" s="2" t="n"/>
      <c r="C54" s="2" t="n"/>
      <c r="D54" s="14" t="n"/>
      <c r="E54" s="2" t="n"/>
      <c r="F54" s="2" t="n"/>
      <c r="G54" s="10">
        <f>IF($A54="","",DATE(YEAR($A54),MONTH($A54),1))</f>
        <v/>
      </c>
    </row>
    <row r="55">
      <c r="A55" s="17" t="n"/>
      <c r="B55" s="2" t="n"/>
      <c r="C55" s="2" t="n"/>
      <c r="D55" s="14" t="n"/>
      <c r="E55" s="2" t="n"/>
      <c r="F55" s="2" t="n"/>
      <c r="G55" s="10">
        <f>IF($A55="","",DATE(YEAR($A55),MONTH($A55),1))</f>
        <v/>
      </c>
    </row>
    <row r="56">
      <c r="A56" s="17" t="n"/>
      <c r="B56" s="2" t="n"/>
      <c r="C56" s="2" t="n"/>
      <c r="D56" s="14" t="n"/>
      <c r="E56" s="2" t="n"/>
      <c r="F56" s="2" t="n"/>
      <c r="G56" s="10">
        <f>IF($A56="","",DATE(YEAR($A56),MONTH($A56),1))</f>
        <v/>
      </c>
    </row>
    <row r="57">
      <c r="A57" s="17" t="n"/>
      <c r="B57" s="2" t="n"/>
      <c r="C57" s="2" t="n"/>
      <c r="D57" s="14" t="n"/>
      <c r="E57" s="2" t="n"/>
      <c r="F57" s="2" t="n"/>
      <c r="G57" s="10">
        <f>IF($A57="","",DATE(YEAR($A57),MONTH($A57),1))</f>
        <v/>
      </c>
    </row>
    <row r="58">
      <c r="A58" s="17" t="n"/>
      <c r="B58" s="2" t="n"/>
      <c r="C58" s="2" t="n"/>
      <c r="D58" s="14" t="n"/>
      <c r="E58" s="2" t="n"/>
      <c r="F58" s="2" t="n"/>
      <c r="G58" s="10">
        <f>IF($A58="","",DATE(YEAR($A58),MONTH($A58),1))</f>
        <v/>
      </c>
    </row>
    <row r="59">
      <c r="A59" s="17" t="n"/>
      <c r="B59" s="2" t="n"/>
      <c r="C59" s="2" t="n"/>
      <c r="D59" s="14" t="n"/>
      <c r="E59" s="2" t="n"/>
      <c r="F59" s="2" t="n"/>
      <c r="G59" s="10">
        <f>IF($A59="","",DATE(YEAR($A59),MONTH($A59),1))</f>
        <v/>
      </c>
    </row>
    <row r="60">
      <c r="A60" s="17" t="n"/>
      <c r="B60" s="2" t="n"/>
      <c r="C60" s="2" t="n"/>
      <c r="D60" s="14" t="n"/>
      <c r="E60" s="2" t="n"/>
      <c r="F60" s="2" t="n"/>
      <c r="G60" s="10">
        <f>IF($A60="","",DATE(YEAR($A60),MONTH($A60),1))</f>
        <v/>
      </c>
    </row>
    <row r="61">
      <c r="A61" s="17" t="n"/>
      <c r="B61" s="2" t="n"/>
      <c r="C61" s="2" t="n"/>
      <c r="D61" s="14" t="n"/>
      <c r="E61" s="2" t="n"/>
      <c r="F61" s="2" t="n"/>
      <c r="G61" s="10">
        <f>IF($A61="","",DATE(YEAR($A61),MONTH($A61),1))</f>
        <v/>
      </c>
    </row>
    <row r="62">
      <c r="A62" s="17" t="n"/>
      <c r="B62" s="2" t="n"/>
      <c r="C62" s="2" t="n"/>
      <c r="D62" s="14" t="n"/>
      <c r="E62" s="2" t="n"/>
      <c r="F62" s="2" t="n"/>
      <c r="G62" s="10">
        <f>IF($A62="","",DATE(YEAR($A62),MONTH($A62),1))</f>
        <v/>
      </c>
    </row>
    <row r="63">
      <c r="A63" s="17" t="n"/>
      <c r="B63" s="2" t="n"/>
      <c r="C63" s="2" t="n"/>
      <c r="D63" s="14" t="n"/>
      <c r="E63" s="2" t="n"/>
      <c r="F63" s="2" t="n"/>
      <c r="G63" s="10">
        <f>IF($A63="","",DATE(YEAR($A63),MONTH($A63),1))</f>
        <v/>
      </c>
    </row>
    <row r="64">
      <c r="A64" s="17" t="n"/>
      <c r="B64" s="2" t="n"/>
      <c r="C64" s="2" t="n"/>
      <c r="D64" s="14" t="n"/>
      <c r="E64" s="2" t="n"/>
      <c r="F64" s="2" t="n"/>
      <c r="G64" s="10">
        <f>IF($A64="","",DATE(YEAR($A64),MONTH($A64),1))</f>
        <v/>
      </c>
    </row>
    <row r="65">
      <c r="A65" s="17" t="n"/>
      <c r="B65" s="2" t="n"/>
      <c r="C65" s="2" t="n"/>
      <c r="D65" s="14" t="n"/>
      <c r="E65" s="2" t="n"/>
      <c r="F65" s="2" t="n"/>
      <c r="G65" s="10">
        <f>IF($A65="","",DATE(YEAR($A65),MONTH($A65),1))</f>
        <v/>
      </c>
    </row>
    <row r="66">
      <c r="A66" s="17" t="n"/>
      <c r="B66" s="2" t="n"/>
      <c r="C66" s="2" t="n"/>
      <c r="D66" s="14" t="n"/>
      <c r="E66" s="2" t="n"/>
      <c r="F66" s="2" t="n"/>
      <c r="G66" s="10">
        <f>IF($A66="","",DATE(YEAR($A66),MONTH($A66),1))</f>
        <v/>
      </c>
    </row>
    <row r="67">
      <c r="A67" s="17" t="n"/>
      <c r="B67" s="2" t="n"/>
      <c r="C67" s="2" t="n"/>
      <c r="D67" s="14" t="n"/>
      <c r="E67" s="2" t="n"/>
      <c r="F67" s="2" t="n"/>
      <c r="G67" s="10">
        <f>IF($A67="","",DATE(YEAR($A67),MONTH($A67),1))</f>
        <v/>
      </c>
    </row>
    <row r="68">
      <c r="A68" s="17" t="n"/>
      <c r="B68" s="2" t="n"/>
      <c r="C68" s="2" t="n"/>
      <c r="D68" s="14" t="n"/>
      <c r="E68" s="2" t="n"/>
      <c r="F68" s="2" t="n"/>
      <c r="G68" s="10">
        <f>IF($A68="","",DATE(YEAR($A68),MONTH($A68),1))</f>
        <v/>
      </c>
    </row>
    <row r="69">
      <c r="A69" s="17" t="n"/>
      <c r="B69" s="2" t="n"/>
      <c r="C69" s="2" t="n"/>
      <c r="D69" s="14" t="n"/>
      <c r="E69" s="2" t="n"/>
      <c r="F69" s="2" t="n"/>
      <c r="G69" s="10">
        <f>IF($A69="","",DATE(YEAR($A69),MONTH($A69),1))</f>
        <v/>
      </c>
    </row>
    <row r="70">
      <c r="A70" s="17" t="n"/>
      <c r="B70" s="2" t="n"/>
      <c r="C70" s="2" t="n"/>
      <c r="D70" s="14" t="n"/>
      <c r="E70" s="2" t="n"/>
      <c r="F70" s="2" t="n"/>
      <c r="G70" s="10">
        <f>IF($A70="","",DATE(YEAR($A70),MONTH($A70),1))</f>
        <v/>
      </c>
    </row>
    <row r="71">
      <c r="A71" s="17" t="n"/>
      <c r="B71" s="2" t="n"/>
      <c r="C71" s="2" t="n"/>
      <c r="D71" s="14" t="n"/>
      <c r="E71" s="2" t="n"/>
      <c r="F71" s="2" t="n"/>
      <c r="G71" s="10">
        <f>IF($A71="","",DATE(YEAR($A71),MONTH($A71),1))</f>
        <v/>
      </c>
    </row>
    <row r="72">
      <c r="A72" s="17" t="n"/>
      <c r="B72" s="2" t="n"/>
      <c r="C72" s="2" t="n"/>
      <c r="D72" s="14" t="n"/>
      <c r="E72" s="2" t="n"/>
      <c r="F72" s="2" t="n"/>
      <c r="G72" s="10">
        <f>IF($A72="","",DATE(YEAR($A72),MONTH($A72),1))</f>
        <v/>
      </c>
    </row>
    <row r="73">
      <c r="A73" s="17" t="n"/>
      <c r="B73" s="2" t="n"/>
      <c r="C73" s="2" t="n"/>
      <c r="D73" s="14" t="n"/>
      <c r="E73" s="2" t="n"/>
      <c r="F73" s="2" t="n"/>
      <c r="G73" s="10">
        <f>IF($A73="","",DATE(YEAR($A73),MONTH($A73),1))</f>
        <v/>
      </c>
    </row>
    <row r="74">
      <c r="A74" s="17" t="n"/>
      <c r="B74" s="2" t="n"/>
      <c r="C74" s="2" t="n"/>
      <c r="D74" s="14" t="n"/>
      <c r="E74" s="2" t="n"/>
      <c r="F74" s="2" t="n"/>
      <c r="G74" s="10">
        <f>IF($A74="","",DATE(YEAR($A74),MONTH($A74),1))</f>
        <v/>
      </c>
    </row>
    <row r="75">
      <c r="A75" s="17" t="n"/>
      <c r="B75" s="2" t="n"/>
      <c r="C75" s="2" t="n"/>
      <c r="D75" s="14" t="n"/>
      <c r="E75" s="2" t="n"/>
      <c r="F75" s="2" t="n"/>
      <c r="G75" s="10">
        <f>IF($A75="","",DATE(YEAR($A75),MONTH($A75),1))</f>
        <v/>
      </c>
    </row>
    <row r="76">
      <c r="A76" s="17" t="n"/>
      <c r="B76" s="2" t="n"/>
      <c r="C76" s="2" t="n"/>
      <c r="D76" s="14" t="n"/>
      <c r="E76" s="2" t="n"/>
      <c r="F76" s="2" t="n"/>
      <c r="G76" s="10">
        <f>IF($A76="","",DATE(YEAR($A76),MONTH($A76),1))</f>
        <v/>
      </c>
    </row>
    <row r="77">
      <c r="A77" s="17" t="n"/>
      <c r="B77" s="2" t="n"/>
      <c r="C77" s="2" t="n"/>
      <c r="D77" s="14" t="n"/>
      <c r="E77" s="2" t="n"/>
      <c r="F77" s="2" t="n"/>
      <c r="G77" s="10">
        <f>IF($A77="","",DATE(YEAR($A77),MONTH($A77),1))</f>
        <v/>
      </c>
    </row>
    <row r="78">
      <c r="A78" s="17" t="n"/>
      <c r="B78" s="2" t="n"/>
      <c r="C78" s="2" t="n"/>
      <c r="D78" s="14" t="n"/>
      <c r="E78" s="2" t="n"/>
      <c r="F78" s="2" t="n"/>
      <c r="G78" s="10">
        <f>IF($A78="","",DATE(YEAR($A78),MONTH($A78),1))</f>
        <v/>
      </c>
    </row>
    <row r="79">
      <c r="A79" s="17" t="n"/>
      <c r="B79" s="2" t="n"/>
      <c r="C79" s="2" t="n"/>
      <c r="D79" s="14" t="n"/>
      <c r="E79" s="2" t="n"/>
      <c r="F79" s="2" t="n"/>
      <c r="G79" s="10">
        <f>IF($A79="","",DATE(YEAR($A79),MONTH($A79),1))</f>
        <v/>
      </c>
    </row>
    <row r="80">
      <c r="A80" s="17" t="n"/>
      <c r="B80" s="2" t="n"/>
      <c r="C80" s="2" t="n"/>
      <c r="D80" s="14" t="n"/>
      <c r="E80" s="2" t="n"/>
      <c r="F80" s="2" t="n"/>
      <c r="G80" s="10">
        <f>IF($A80="","",DATE(YEAR($A80),MONTH($A80),1))</f>
        <v/>
      </c>
    </row>
    <row r="81">
      <c r="A81" s="17" t="n"/>
      <c r="B81" s="2" t="n"/>
      <c r="C81" s="2" t="n"/>
      <c r="D81" s="14" t="n"/>
      <c r="E81" s="2" t="n"/>
      <c r="F81" s="2" t="n"/>
      <c r="G81" s="10">
        <f>IF($A81="","",DATE(YEAR($A81),MONTH($A81),1))</f>
        <v/>
      </c>
    </row>
    <row r="82">
      <c r="A82" s="17" t="n"/>
      <c r="B82" s="2" t="n"/>
      <c r="C82" s="2" t="n"/>
      <c r="D82" s="14" t="n"/>
      <c r="E82" s="2" t="n"/>
      <c r="F82" s="2" t="n"/>
      <c r="G82" s="10">
        <f>IF($A82="","",DATE(YEAR($A82),MONTH($A82),1))</f>
        <v/>
      </c>
    </row>
    <row r="83">
      <c r="A83" s="17" t="n"/>
      <c r="B83" s="2" t="n"/>
      <c r="C83" s="2" t="n"/>
      <c r="D83" s="14" t="n"/>
      <c r="E83" s="2" t="n"/>
      <c r="F83" s="2" t="n"/>
      <c r="G83" s="10">
        <f>IF($A83="","",DATE(YEAR($A83),MONTH($A83),1))</f>
        <v/>
      </c>
    </row>
    <row r="84">
      <c r="A84" s="17" t="n"/>
      <c r="B84" s="2" t="n"/>
      <c r="C84" s="2" t="n"/>
      <c r="D84" s="14" t="n"/>
      <c r="E84" s="2" t="n"/>
      <c r="F84" s="2" t="n"/>
      <c r="G84" s="10">
        <f>IF($A84="","",DATE(YEAR($A84),MONTH($A84),1))</f>
        <v/>
      </c>
    </row>
    <row r="85">
      <c r="A85" s="17" t="n"/>
      <c r="B85" s="2" t="n"/>
      <c r="C85" s="2" t="n"/>
      <c r="D85" s="14" t="n"/>
      <c r="E85" s="2" t="n"/>
      <c r="F85" s="2" t="n"/>
      <c r="G85" s="10">
        <f>IF($A85="","",DATE(YEAR($A85),MONTH($A85),1))</f>
        <v/>
      </c>
    </row>
    <row r="86">
      <c r="A86" s="17" t="n"/>
      <c r="B86" s="2" t="n"/>
      <c r="C86" s="2" t="n"/>
      <c r="D86" s="14" t="n"/>
      <c r="E86" s="2" t="n"/>
      <c r="F86" s="2" t="n"/>
      <c r="G86" s="10">
        <f>IF($A86="","",DATE(YEAR($A86),MONTH($A86),1))</f>
        <v/>
      </c>
    </row>
    <row r="87">
      <c r="A87" s="17" t="n"/>
      <c r="B87" s="2" t="n"/>
      <c r="C87" s="2" t="n"/>
      <c r="D87" s="14" t="n"/>
      <c r="E87" s="2" t="n"/>
      <c r="F87" s="2" t="n"/>
      <c r="G87" s="10">
        <f>IF($A87="","",DATE(YEAR($A87),MONTH($A87),1))</f>
        <v/>
      </c>
    </row>
    <row r="88">
      <c r="A88" s="17" t="n"/>
      <c r="B88" s="2" t="n"/>
      <c r="C88" s="2" t="n"/>
      <c r="D88" s="14" t="n"/>
      <c r="E88" s="2" t="n"/>
      <c r="F88" s="2" t="n"/>
      <c r="G88" s="10">
        <f>IF($A88="","",DATE(YEAR($A88),MONTH($A88),1))</f>
        <v/>
      </c>
    </row>
    <row r="89">
      <c r="A89" s="17" t="n"/>
      <c r="B89" s="2" t="n"/>
      <c r="C89" s="2" t="n"/>
      <c r="D89" s="14" t="n"/>
      <c r="E89" s="2" t="n"/>
      <c r="F89" s="2" t="n"/>
      <c r="G89" s="10">
        <f>IF($A89="","",DATE(YEAR($A89),MONTH($A89),1))</f>
        <v/>
      </c>
    </row>
    <row r="90">
      <c r="A90" s="17" t="n"/>
      <c r="B90" s="2" t="n"/>
      <c r="C90" s="2" t="n"/>
      <c r="D90" s="14" t="n"/>
      <c r="E90" s="2" t="n"/>
      <c r="F90" s="2" t="n"/>
      <c r="G90" s="10">
        <f>IF($A90="","",DATE(YEAR($A90),MONTH($A90),1))</f>
        <v/>
      </c>
    </row>
    <row r="91">
      <c r="A91" s="17" t="n"/>
      <c r="B91" s="2" t="n"/>
      <c r="C91" s="2" t="n"/>
      <c r="D91" s="14" t="n"/>
      <c r="E91" s="2" t="n"/>
      <c r="F91" s="2" t="n"/>
      <c r="G91" s="10">
        <f>IF($A91="","",DATE(YEAR($A91),MONTH($A91),1))</f>
        <v/>
      </c>
    </row>
    <row r="92">
      <c r="A92" s="17" t="n"/>
      <c r="B92" s="2" t="n"/>
      <c r="C92" s="2" t="n"/>
      <c r="D92" s="14" t="n"/>
      <c r="E92" s="2" t="n"/>
      <c r="F92" s="2" t="n"/>
      <c r="G92" s="10">
        <f>IF($A92="","",DATE(YEAR($A92),MONTH($A92),1))</f>
        <v/>
      </c>
    </row>
    <row r="93">
      <c r="A93" s="17" t="n"/>
      <c r="B93" s="2" t="n"/>
      <c r="C93" s="2" t="n"/>
      <c r="D93" s="14" t="n"/>
      <c r="E93" s="2" t="n"/>
      <c r="F93" s="2" t="n"/>
      <c r="G93" s="10">
        <f>IF($A93="","",DATE(YEAR($A93),MONTH($A93),1))</f>
        <v/>
      </c>
    </row>
    <row r="94">
      <c r="A94" s="17" t="n"/>
      <c r="B94" s="2" t="n"/>
      <c r="C94" s="2" t="n"/>
      <c r="D94" s="14" t="n"/>
      <c r="E94" s="2" t="n"/>
      <c r="F94" s="2" t="n"/>
      <c r="G94" s="10">
        <f>IF($A94="","",DATE(YEAR($A94),MONTH($A94),1))</f>
        <v/>
      </c>
    </row>
    <row r="95">
      <c r="A95" s="17" t="n"/>
      <c r="B95" s="2" t="n"/>
      <c r="C95" s="2" t="n"/>
      <c r="D95" s="14" t="n"/>
      <c r="E95" s="2" t="n"/>
      <c r="F95" s="2" t="n"/>
      <c r="G95" s="10">
        <f>IF($A95="","",DATE(YEAR($A95),MONTH($A95),1))</f>
        <v/>
      </c>
    </row>
    <row r="96">
      <c r="A96" s="17" t="n"/>
      <c r="B96" s="2" t="n"/>
      <c r="C96" s="2" t="n"/>
      <c r="D96" s="14" t="n"/>
      <c r="E96" s="2" t="n"/>
      <c r="F96" s="2" t="n"/>
      <c r="G96" s="10">
        <f>IF($A96="","",DATE(YEAR($A96),MONTH($A96),1))</f>
        <v/>
      </c>
    </row>
    <row r="97">
      <c r="A97" s="17" t="n"/>
      <c r="B97" s="2" t="n"/>
      <c r="C97" s="2" t="n"/>
      <c r="D97" s="14" t="n"/>
      <c r="E97" s="2" t="n"/>
      <c r="F97" s="2" t="n"/>
      <c r="G97" s="10">
        <f>IF($A97="","",DATE(YEAR($A97),MONTH($A97),1))</f>
        <v/>
      </c>
    </row>
    <row r="98">
      <c r="A98" s="17" t="n"/>
      <c r="B98" s="2" t="n"/>
      <c r="C98" s="2" t="n"/>
      <c r="D98" s="14" t="n"/>
      <c r="E98" s="2" t="n"/>
      <c r="F98" s="2" t="n"/>
      <c r="G98" s="10">
        <f>IF($A98="","",DATE(YEAR($A98),MONTH($A98),1))</f>
        <v/>
      </c>
    </row>
    <row r="99">
      <c r="A99" s="17" t="n"/>
      <c r="B99" s="2" t="n"/>
      <c r="C99" s="2" t="n"/>
      <c r="D99" s="14" t="n"/>
      <c r="E99" s="2" t="n"/>
      <c r="F99" s="2" t="n"/>
      <c r="G99" s="10">
        <f>IF($A99="","",DATE(YEAR($A99),MONTH($A99),1))</f>
        <v/>
      </c>
    </row>
    <row r="100">
      <c r="A100" s="17" t="n"/>
      <c r="B100" s="2" t="n"/>
      <c r="C100" s="2" t="n"/>
      <c r="D100" s="14" t="n"/>
      <c r="E100" s="2" t="n"/>
      <c r="F100" s="2" t="n"/>
      <c r="G100" s="10">
        <f>IF($A100="","",DATE(YEAR($A100),MONTH($A100),1))</f>
        <v/>
      </c>
    </row>
    <row r="101">
      <c r="A101" s="17" t="n"/>
      <c r="B101" s="2" t="n"/>
      <c r="C101" s="2" t="n"/>
      <c r="D101" s="14" t="n"/>
      <c r="E101" s="2" t="n"/>
      <c r="F101" s="2" t="n"/>
      <c r="G101" s="10">
        <f>IF($A101="","",DATE(YEAR($A101),MONTH($A101),1))</f>
        <v/>
      </c>
    </row>
    <row r="102">
      <c r="A102" s="17" t="n"/>
      <c r="B102" s="2" t="n"/>
      <c r="C102" s="2" t="n"/>
      <c r="D102" s="14" t="n"/>
      <c r="E102" s="2" t="n"/>
      <c r="F102" s="2" t="n"/>
      <c r="G102" s="10">
        <f>IF($A102="","",DATE(YEAR($A102),MONTH($A102),1))</f>
        <v/>
      </c>
    </row>
    <row r="103">
      <c r="A103" s="17" t="n"/>
      <c r="B103" s="2" t="n"/>
      <c r="C103" s="2" t="n"/>
      <c r="D103" s="14" t="n"/>
      <c r="E103" s="2" t="n"/>
      <c r="F103" s="2" t="n"/>
      <c r="G103" s="10">
        <f>IF($A103="","",DATE(YEAR($A103),MONTH($A103),1))</f>
        <v/>
      </c>
    </row>
    <row r="104">
      <c r="A104" s="17" t="n"/>
      <c r="B104" s="2" t="n"/>
      <c r="C104" s="2" t="n"/>
      <c r="D104" s="14" t="n"/>
      <c r="E104" s="2" t="n"/>
      <c r="F104" s="2" t="n"/>
      <c r="G104" s="10">
        <f>IF($A104="","",DATE(YEAR($A104),MONTH($A104),1))</f>
        <v/>
      </c>
    </row>
    <row r="105">
      <c r="A105" s="17" t="n"/>
      <c r="B105" s="2" t="n"/>
      <c r="C105" s="2" t="n"/>
      <c r="D105" s="14" t="n"/>
      <c r="E105" s="2" t="n"/>
      <c r="F105" s="2" t="n"/>
      <c r="G105" s="10">
        <f>IF($A105="","",DATE(YEAR($A105),MONTH($A105),1))</f>
        <v/>
      </c>
    </row>
    <row r="106">
      <c r="A106" s="17" t="n"/>
      <c r="B106" s="2" t="n"/>
      <c r="C106" s="2" t="n"/>
      <c r="D106" s="14" t="n"/>
      <c r="E106" s="2" t="n"/>
      <c r="F106" s="2" t="n"/>
      <c r="G106" s="10">
        <f>IF($A106="","",DATE(YEAR($A106),MONTH($A106),1))</f>
        <v/>
      </c>
    </row>
    <row r="107">
      <c r="A107" s="17" t="n"/>
      <c r="B107" s="2" t="n"/>
      <c r="C107" s="2" t="n"/>
      <c r="D107" s="14" t="n"/>
      <c r="E107" s="2" t="n"/>
      <c r="F107" s="2" t="n"/>
      <c r="G107" s="10">
        <f>IF($A107="","",DATE(YEAR($A107),MONTH($A107),1))</f>
        <v/>
      </c>
    </row>
    <row r="108">
      <c r="A108" s="17" t="n"/>
      <c r="B108" s="2" t="n"/>
      <c r="C108" s="2" t="n"/>
      <c r="D108" s="14" t="n"/>
      <c r="E108" s="2" t="n"/>
      <c r="F108" s="2" t="n"/>
      <c r="G108" s="10">
        <f>IF($A108="","",DATE(YEAR($A108),MONTH($A108),1))</f>
        <v/>
      </c>
    </row>
    <row r="109">
      <c r="A109" s="17" t="n"/>
      <c r="B109" s="2" t="n"/>
      <c r="C109" s="2" t="n"/>
      <c r="D109" s="14" t="n"/>
      <c r="E109" s="2" t="n"/>
      <c r="F109" s="2" t="n"/>
      <c r="G109" s="10">
        <f>IF($A109="","",DATE(YEAR($A109),MONTH($A109),1))</f>
        <v/>
      </c>
    </row>
    <row r="110">
      <c r="A110" s="17" t="n"/>
      <c r="B110" s="2" t="n"/>
      <c r="C110" s="2" t="n"/>
      <c r="D110" s="14" t="n"/>
      <c r="E110" s="2" t="n"/>
      <c r="F110" s="2" t="n"/>
      <c r="G110" s="10">
        <f>IF($A110="","",DATE(YEAR($A110),MONTH($A110),1))</f>
        <v/>
      </c>
    </row>
    <row r="111">
      <c r="A111" s="17" t="n"/>
      <c r="B111" s="2" t="n"/>
      <c r="C111" s="2" t="n"/>
      <c r="D111" s="14" t="n"/>
      <c r="E111" s="2" t="n"/>
      <c r="F111" s="2" t="n"/>
      <c r="G111" s="10">
        <f>IF($A111="","",DATE(YEAR($A111),MONTH($A111),1))</f>
        <v/>
      </c>
    </row>
    <row r="112">
      <c r="A112" s="17" t="n"/>
      <c r="B112" s="2" t="n"/>
      <c r="C112" s="2" t="n"/>
      <c r="D112" s="14" t="n"/>
      <c r="E112" s="2" t="n"/>
      <c r="F112" s="2" t="n"/>
      <c r="G112" s="10">
        <f>IF($A112="","",DATE(YEAR($A112),MONTH($A112),1))</f>
        <v/>
      </c>
    </row>
    <row r="113">
      <c r="A113" s="17" t="n"/>
      <c r="B113" s="2" t="n"/>
      <c r="C113" s="2" t="n"/>
      <c r="D113" s="14" t="n"/>
      <c r="E113" s="2" t="n"/>
      <c r="F113" s="2" t="n"/>
      <c r="G113" s="10">
        <f>IF($A113="","",DATE(YEAR($A113),MONTH($A113),1))</f>
        <v/>
      </c>
    </row>
    <row r="114">
      <c r="A114" s="17" t="n"/>
      <c r="B114" s="2" t="n"/>
      <c r="C114" s="2" t="n"/>
      <c r="D114" s="14" t="n"/>
      <c r="E114" s="2" t="n"/>
      <c r="F114" s="2" t="n"/>
      <c r="G114" s="10">
        <f>IF($A114="","",DATE(YEAR($A114),MONTH($A114),1))</f>
        <v/>
      </c>
    </row>
    <row r="115">
      <c r="A115" s="17" t="n"/>
      <c r="B115" s="2" t="n"/>
      <c r="C115" s="2" t="n"/>
      <c r="D115" s="14" t="n"/>
      <c r="E115" s="2" t="n"/>
      <c r="F115" s="2" t="n"/>
      <c r="G115" s="10">
        <f>IF($A115="","",DATE(YEAR($A115),MONTH($A115),1))</f>
        <v/>
      </c>
    </row>
    <row r="116">
      <c r="A116" s="17" t="n"/>
      <c r="B116" s="2" t="n"/>
      <c r="C116" s="2" t="n"/>
      <c r="D116" s="14" t="n"/>
      <c r="E116" s="2" t="n"/>
      <c r="F116" s="2" t="n"/>
      <c r="G116" s="10">
        <f>IF($A116="","",DATE(YEAR($A116),MONTH($A116),1))</f>
        <v/>
      </c>
    </row>
    <row r="117">
      <c r="A117" s="17" t="n"/>
      <c r="B117" s="2" t="n"/>
      <c r="C117" s="2" t="n"/>
      <c r="D117" s="14" t="n"/>
      <c r="E117" s="2" t="n"/>
      <c r="F117" s="2" t="n"/>
      <c r="G117" s="10">
        <f>IF($A117="","",DATE(YEAR($A117),MONTH($A117),1))</f>
        <v/>
      </c>
    </row>
    <row r="118">
      <c r="A118" s="17" t="n"/>
      <c r="B118" s="2" t="n"/>
      <c r="C118" s="2" t="n"/>
      <c r="D118" s="14" t="n"/>
      <c r="E118" s="2" t="n"/>
      <c r="F118" s="2" t="n"/>
      <c r="G118" s="10">
        <f>IF($A118="","",DATE(YEAR($A118),MONTH($A118),1))</f>
        <v/>
      </c>
    </row>
    <row r="119">
      <c r="A119" s="17" t="n"/>
      <c r="B119" s="2" t="n"/>
      <c r="C119" s="2" t="n"/>
      <c r="D119" s="14" t="n"/>
      <c r="E119" s="2" t="n"/>
      <c r="F119" s="2" t="n"/>
      <c r="G119" s="10">
        <f>IF($A119="","",DATE(YEAR($A119),MONTH($A119),1))</f>
        <v/>
      </c>
    </row>
    <row r="120">
      <c r="A120" s="17" t="n"/>
      <c r="B120" s="2" t="n"/>
      <c r="C120" s="2" t="n"/>
      <c r="D120" s="14" t="n"/>
      <c r="E120" s="2" t="n"/>
      <c r="F120" s="2" t="n"/>
      <c r="G120" s="10">
        <f>IF($A120="","",DATE(YEAR($A120),MONTH($A120),1))</f>
        <v/>
      </c>
    </row>
    <row r="121">
      <c r="A121" s="17" t="n"/>
      <c r="B121" s="2" t="n"/>
      <c r="C121" s="2" t="n"/>
      <c r="D121" s="14" t="n"/>
      <c r="E121" s="2" t="n"/>
      <c r="F121" s="2" t="n"/>
      <c r="G121" s="10">
        <f>IF($A121="","",DATE(YEAR($A121),MONTH($A121),1))</f>
        <v/>
      </c>
    </row>
    <row r="122">
      <c r="A122" s="17" t="n"/>
      <c r="B122" s="2" t="n"/>
      <c r="C122" s="2" t="n"/>
      <c r="D122" s="14" t="n"/>
      <c r="E122" s="2" t="n"/>
      <c r="F122" s="2" t="n"/>
      <c r="G122" s="10">
        <f>IF($A122="","",DATE(YEAR($A122),MONTH($A122),1))</f>
        <v/>
      </c>
    </row>
    <row r="123">
      <c r="A123" s="17" t="n"/>
      <c r="B123" s="2" t="n"/>
      <c r="C123" s="2" t="n"/>
      <c r="D123" s="14" t="n"/>
      <c r="E123" s="2" t="n"/>
      <c r="F123" s="2" t="n"/>
      <c r="G123" s="10">
        <f>IF($A123="","",DATE(YEAR($A123),MONTH($A123),1))</f>
        <v/>
      </c>
    </row>
    <row r="124">
      <c r="A124" s="17" t="n"/>
      <c r="B124" s="2" t="n"/>
      <c r="C124" s="2" t="n"/>
      <c r="D124" s="14" t="n"/>
      <c r="E124" s="2" t="n"/>
      <c r="F124" s="2" t="n"/>
      <c r="G124" s="10">
        <f>IF($A124="","",DATE(YEAR($A124),MONTH($A124),1))</f>
        <v/>
      </c>
    </row>
    <row r="125">
      <c r="A125" s="17" t="n"/>
      <c r="B125" s="2" t="n"/>
      <c r="C125" s="2" t="n"/>
      <c r="D125" s="14" t="n"/>
      <c r="E125" s="2" t="n"/>
      <c r="F125" s="2" t="n"/>
      <c r="G125" s="10">
        <f>IF($A125="","",DATE(YEAR($A125),MONTH($A125),1))</f>
        <v/>
      </c>
    </row>
    <row r="126">
      <c r="A126" s="17" t="n"/>
      <c r="B126" s="2" t="n"/>
      <c r="C126" s="2" t="n"/>
      <c r="D126" s="14" t="n"/>
      <c r="E126" s="2" t="n"/>
      <c r="F126" s="2" t="n"/>
      <c r="G126" s="10">
        <f>IF($A126="","",DATE(YEAR($A126),MONTH($A126),1))</f>
        <v/>
      </c>
    </row>
    <row r="127">
      <c r="A127" s="17" t="n"/>
      <c r="B127" s="2" t="n"/>
      <c r="C127" s="2" t="n"/>
      <c r="D127" s="14" t="n"/>
      <c r="E127" s="2" t="n"/>
      <c r="F127" s="2" t="n"/>
      <c r="G127" s="10">
        <f>IF($A127="","",DATE(YEAR($A127),MONTH($A127),1))</f>
        <v/>
      </c>
    </row>
    <row r="128">
      <c r="A128" s="17" t="n"/>
      <c r="B128" s="2" t="n"/>
      <c r="C128" s="2" t="n"/>
      <c r="D128" s="14" t="n"/>
      <c r="E128" s="2" t="n"/>
      <c r="F128" s="2" t="n"/>
      <c r="G128" s="10">
        <f>IF($A128="","",DATE(YEAR($A128),MONTH($A128),1))</f>
        <v/>
      </c>
    </row>
    <row r="129">
      <c r="A129" s="17" t="n"/>
      <c r="B129" s="2" t="n"/>
      <c r="C129" s="2" t="n"/>
      <c r="D129" s="14" t="n"/>
      <c r="E129" s="2" t="n"/>
      <c r="F129" s="2" t="n"/>
      <c r="G129" s="10">
        <f>IF($A129="","",DATE(YEAR($A129),MONTH($A129),1))</f>
        <v/>
      </c>
    </row>
    <row r="130">
      <c r="A130" s="17" t="n"/>
      <c r="B130" s="2" t="n"/>
      <c r="C130" s="2" t="n"/>
      <c r="D130" s="14" t="n"/>
      <c r="E130" s="2" t="n"/>
      <c r="F130" s="2" t="n"/>
      <c r="G130" s="10">
        <f>IF($A130="","",DATE(YEAR($A130),MONTH($A130),1))</f>
        <v/>
      </c>
    </row>
    <row r="131">
      <c r="A131" s="17" t="n"/>
      <c r="B131" s="2" t="n"/>
      <c r="C131" s="2" t="n"/>
      <c r="D131" s="14" t="n"/>
      <c r="E131" s="2" t="n"/>
      <c r="F131" s="2" t="n"/>
      <c r="G131" s="10">
        <f>IF($A131="","",DATE(YEAR($A131),MONTH($A131),1))</f>
        <v/>
      </c>
    </row>
    <row r="132">
      <c r="A132" s="17" t="n"/>
      <c r="B132" s="2" t="n"/>
      <c r="C132" s="2" t="n"/>
      <c r="D132" s="14" t="n"/>
      <c r="E132" s="2" t="n"/>
      <c r="F132" s="2" t="n"/>
      <c r="G132" s="10">
        <f>IF($A132="","",DATE(YEAR($A132),MONTH($A132),1))</f>
        <v/>
      </c>
    </row>
    <row r="133">
      <c r="A133" s="17" t="n"/>
      <c r="B133" s="2" t="n"/>
      <c r="C133" s="2" t="n"/>
      <c r="D133" s="14" t="n"/>
      <c r="E133" s="2" t="n"/>
      <c r="F133" s="2" t="n"/>
      <c r="G133" s="10">
        <f>IF($A133="","",DATE(YEAR($A133),MONTH($A133),1))</f>
        <v/>
      </c>
    </row>
    <row r="134">
      <c r="A134" s="17" t="n"/>
      <c r="B134" s="2" t="n"/>
      <c r="C134" s="2" t="n"/>
      <c r="D134" s="14" t="n"/>
      <c r="E134" s="2" t="n"/>
      <c r="F134" s="2" t="n"/>
      <c r="G134" s="10">
        <f>IF($A134="","",DATE(YEAR($A134),MONTH($A134),1))</f>
        <v/>
      </c>
    </row>
    <row r="135">
      <c r="A135" s="17" t="n"/>
      <c r="B135" s="2" t="n"/>
      <c r="C135" s="2" t="n"/>
      <c r="D135" s="14" t="n"/>
      <c r="E135" s="2" t="n"/>
      <c r="F135" s="2" t="n"/>
      <c r="G135" s="10">
        <f>IF($A135="","",DATE(YEAR($A135),MONTH($A135),1))</f>
        <v/>
      </c>
    </row>
    <row r="136">
      <c r="A136" s="17" t="n"/>
      <c r="B136" s="2" t="n"/>
      <c r="C136" s="2" t="n"/>
      <c r="D136" s="14" t="n"/>
      <c r="E136" s="2" t="n"/>
      <c r="F136" s="2" t="n"/>
      <c r="G136" s="10">
        <f>IF($A136="","",DATE(YEAR($A136),MONTH($A136),1))</f>
        <v/>
      </c>
    </row>
    <row r="137">
      <c r="A137" s="17" t="n"/>
      <c r="B137" s="2" t="n"/>
      <c r="C137" s="2" t="n"/>
      <c r="D137" s="14" t="n"/>
      <c r="E137" s="2" t="n"/>
      <c r="F137" s="2" t="n"/>
      <c r="G137" s="10">
        <f>IF($A137="","",DATE(YEAR($A137),MONTH($A137),1))</f>
        <v/>
      </c>
    </row>
    <row r="138">
      <c r="A138" s="17" t="n"/>
      <c r="B138" s="2" t="n"/>
      <c r="C138" s="2" t="n"/>
      <c r="D138" s="14" t="n"/>
      <c r="E138" s="2" t="n"/>
      <c r="F138" s="2" t="n"/>
      <c r="G138" s="10">
        <f>IF($A138="","",DATE(YEAR($A138),MONTH($A138),1))</f>
        <v/>
      </c>
    </row>
    <row r="139">
      <c r="A139" s="17" t="n"/>
      <c r="B139" s="2" t="n"/>
      <c r="C139" s="2" t="n"/>
      <c r="D139" s="14" t="n"/>
      <c r="E139" s="2" t="n"/>
      <c r="F139" s="2" t="n"/>
      <c r="G139" s="10">
        <f>IF($A139="","",DATE(YEAR($A139),MONTH($A139),1))</f>
        <v/>
      </c>
    </row>
    <row r="140">
      <c r="A140" s="17" t="n"/>
      <c r="B140" s="2" t="n"/>
      <c r="C140" s="2" t="n"/>
      <c r="D140" s="14" t="n"/>
      <c r="E140" s="2" t="n"/>
      <c r="F140" s="2" t="n"/>
      <c r="G140" s="10">
        <f>IF($A140="","",DATE(YEAR($A140),MONTH($A140),1))</f>
        <v/>
      </c>
    </row>
    <row r="141">
      <c r="A141" s="17" t="n"/>
      <c r="B141" s="2" t="n"/>
      <c r="C141" s="2" t="n"/>
      <c r="D141" s="14" t="n"/>
      <c r="E141" s="2" t="n"/>
      <c r="F141" s="2" t="n"/>
      <c r="G141" s="10">
        <f>IF($A141="","",DATE(YEAR($A141),MONTH($A141),1))</f>
        <v/>
      </c>
    </row>
    <row r="142">
      <c r="A142" s="17" t="n"/>
      <c r="B142" s="2" t="n"/>
      <c r="C142" s="2" t="n"/>
      <c r="D142" s="14" t="n"/>
      <c r="E142" s="2" t="n"/>
      <c r="F142" s="2" t="n"/>
      <c r="G142" s="10">
        <f>IF($A142="","",DATE(YEAR($A142),MONTH($A142),1))</f>
        <v/>
      </c>
    </row>
    <row r="143">
      <c r="A143" s="17" t="n"/>
      <c r="B143" s="2" t="n"/>
      <c r="C143" s="2" t="n"/>
      <c r="D143" s="14" t="n"/>
      <c r="E143" s="2" t="n"/>
      <c r="F143" s="2" t="n"/>
      <c r="G143" s="10">
        <f>IF($A143="","",DATE(YEAR($A143),MONTH($A143),1))</f>
        <v/>
      </c>
    </row>
    <row r="144">
      <c r="A144" s="17" t="n"/>
      <c r="B144" s="2" t="n"/>
      <c r="C144" s="2" t="n"/>
      <c r="D144" s="14" t="n"/>
      <c r="E144" s="2" t="n"/>
      <c r="F144" s="2" t="n"/>
      <c r="G144" s="10">
        <f>IF($A144="","",DATE(YEAR($A144),MONTH($A144),1))</f>
        <v/>
      </c>
    </row>
    <row r="145">
      <c r="A145" s="17" t="n"/>
      <c r="B145" s="2" t="n"/>
      <c r="C145" s="2" t="n"/>
      <c r="D145" s="14" t="n"/>
      <c r="E145" s="2" t="n"/>
      <c r="F145" s="2" t="n"/>
      <c r="G145" s="10">
        <f>IF($A145="","",DATE(YEAR($A145),MONTH($A145),1))</f>
        <v/>
      </c>
    </row>
    <row r="146">
      <c r="A146" s="17" t="n"/>
      <c r="B146" s="2" t="n"/>
      <c r="C146" s="2" t="n"/>
      <c r="D146" s="14" t="n"/>
      <c r="E146" s="2" t="n"/>
      <c r="F146" s="2" t="n"/>
      <c r="G146" s="10">
        <f>IF($A146="","",DATE(YEAR($A146),MONTH($A146),1))</f>
        <v/>
      </c>
    </row>
    <row r="147">
      <c r="A147" s="17" t="n"/>
      <c r="B147" s="2" t="n"/>
      <c r="C147" s="2" t="n"/>
      <c r="D147" s="14" t="n"/>
      <c r="E147" s="2" t="n"/>
      <c r="F147" s="2" t="n"/>
      <c r="G147" s="10">
        <f>IF($A147="","",DATE(YEAR($A147),MONTH($A147),1))</f>
        <v/>
      </c>
    </row>
    <row r="148">
      <c r="A148" s="17" t="n"/>
      <c r="B148" s="2" t="n"/>
      <c r="C148" s="2" t="n"/>
      <c r="D148" s="14" t="n"/>
      <c r="E148" s="2" t="n"/>
      <c r="F148" s="2" t="n"/>
      <c r="G148" s="10">
        <f>IF($A148="","",DATE(YEAR($A148),MONTH($A148),1))</f>
        <v/>
      </c>
    </row>
    <row r="149">
      <c r="A149" s="17" t="n"/>
      <c r="B149" s="2" t="n"/>
      <c r="C149" s="2" t="n"/>
      <c r="D149" s="14" t="n"/>
      <c r="E149" s="2" t="n"/>
      <c r="F149" s="2" t="n"/>
      <c r="G149" s="10">
        <f>IF($A149="","",DATE(YEAR($A149),MONTH($A149),1))</f>
        <v/>
      </c>
    </row>
    <row r="150">
      <c r="A150" s="17" t="n"/>
      <c r="B150" s="2" t="n"/>
      <c r="C150" s="2" t="n"/>
      <c r="D150" s="14" t="n"/>
      <c r="E150" s="2" t="n"/>
      <c r="F150" s="2" t="n"/>
      <c r="G150" s="10">
        <f>IF($A150="","",DATE(YEAR($A150),MONTH($A150),1))</f>
        <v/>
      </c>
    </row>
    <row r="151">
      <c r="A151" s="17" t="n"/>
      <c r="B151" s="2" t="n"/>
      <c r="C151" s="2" t="n"/>
      <c r="D151" s="14" t="n"/>
      <c r="E151" s="2" t="n"/>
      <c r="F151" s="2" t="n"/>
      <c r="G151" s="10">
        <f>IF($A151="","",DATE(YEAR($A151),MONTH($A151),1))</f>
        <v/>
      </c>
    </row>
  </sheetData>
  <dataValidations count="2">
    <dataValidation sqref="C2:C151" showDropDown="0" showInputMessage="0" showErrorMessage="0" allowBlank="1" type="list">
      <formula1>"Ads,Claude,Domains &amp; hosting,Equipment,Software,Other"</formula1>
    </dataValidation>
    <dataValidation sqref="E2:E15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2026-10-14T10:45:50Z</dcterms:created>
  <dcterms:modified xmlns:dcterms="http://purl.org/dc/terms/" xmlns:xsi="http://www.w3.org/2001/XMLSchema-instance" xsi:type="dcterms:W3CDTF">2026-10-14T10:45:50Z</dcterms:modified>
</cp:coreProperties>
</file>