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ttings" sheetId="2" state="visible" r:id="rId2"/>
    <sheet name="Daily Ads" sheetId="3" state="visible" r:id="rId3"/>
    <sheet name="Leads" sheetId="4" state="visible" r:id="rId4"/>
    <sheet name="Month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US$&quot;#,##0.00;(&quot;US$&quot;#,##0.00);&quot;-&quot;"/>
    <numFmt numFmtId="165" formatCode="&quot;TT$&quot;#,##0;(&quot;TT$&quot;#,##0);&quot;-&quot;"/>
    <numFmt numFmtId="166" formatCode="yyyy-mm-dd"/>
    <numFmt numFmtId="167" formatCode="ddd dd mmm yyyy"/>
    <numFmt numFmtId="168" formatCode="#,##0;(#,##0);&quot;-&quot;"/>
    <numFmt numFmtId="169" formatCode="0.0%;(0.0%);&quot;-&quot;"/>
    <numFmt numFmtId="170" formatCode="dd mmm yyyy"/>
    <numFmt numFmtId="171" formatCode="mmm yyyy"/>
    <numFmt numFmtId="172" formatCode="0.0&quot;x&quot;"/>
  </numFmts>
  <fonts count="10">
    <font>
      <name val="Calibri"/>
      <family val="2"/>
      <color theme="1"/>
      <sz val="11"/>
      <scheme val="minor"/>
    </font>
    <font>
      <name val="Arial"/>
      <b val="1"/>
      <color rgb="000B2A4A"/>
      <sz val="16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i val="1"/>
      <color rgb="00888888"/>
    </font>
    <font>
      <name val="Arial"/>
      <b val="1"/>
      <sz val="12"/>
    </font>
    <font>
      <name val="Arial"/>
      <b val="1"/>
      <color rgb="000B2A4A"/>
      <sz val="12"/>
    </font>
  </fonts>
  <fills count="10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FFFF00"/>
      </patternFill>
    </fill>
    <fill>
      <patternFill patternType="solid">
        <fgColor rgb="00D9F2EF"/>
      </patternFill>
    </fill>
    <fill>
      <patternFill patternType="solid">
        <fgColor rgb="00FFF7D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8" fontId="8" fillId="0" borderId="1" applyAlignment="1" pivotButton="0" quotePrefix="0" xfId="0">
      <alignment horizontal="right"/>
    </xf>
    <xf numFmtId="0" fontId="2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0" fontId="9" fillId="0" borderId="0" pivotButton="0" quotePrefix="0" xfId="0"/>
    <xf numFmtId="0" fontId="4" fillId="0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4" fillId="0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167" fontId="5" fillId="3" borderId="1" pivotButton="0" quotePrefix="0" xfId="0"/>
    <xf numFmtId="164" fontId="0" fillId="4" borderId="1" pivotButton="0" quotePrefix="0" xfId="0"/>
    <xf numFmtId="168" fontId="0" fillId="4" borderId="1" pivotButton="0" quotePrefix="0" xfId="0"/>
    <xf numFmtId="167" fontId="4" fillId="0" borderId="1" pivotButton="0" quotePrefix="0" xfId="0"/>
    <xf numFmtId="164" fontId="5" fillId="5" borderId="1" pivotButton="0" quotePrefix="0" xfId="0"/>
    <xf numFmtId="168" fontId="5" fillId="5" borderId="1" pivotButton="0" quotePrefix="0" xfId="0"/>
    <xf numFmtId="164" fontId="0" fillId="0" borderId="1" pivotButton="0" quotePrefix="0" xfId="0"/>
    <xf numFmtId="169" fontId="0" fillId="0" borderId="1" pivotButton="0" quotePrefix="0" xfId="0"/>
    <xf numFmtId="0" fontId="6" fillId="4" borderId="1" pivotButton="0" quotePrefix="0" xfId="0"/>
    <xf numFmtId="164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70" fontId="7" fillId="0" borderId="1" pivotButton="0" quotePrefix="0" xfId="0"/>
    <xf numFmtId="0" fontId="7" fillId="0" borderId="1" pivotButton="0" quotePrefix="0" xfId="0"/>
    <xf numFmtId="165" fontId="7" fillId="0" borderId="1" pivotButton="0" quotePrefix="0" xfId="0"/>
    <xf numFmtId="170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71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2" fontId="4" fillId="0" borderId="1" pivotButton="0" quotePrefix="0" xfId="0"/>
    <xf numFmtId="165" fontId="6" fillId="4" borderId="1" pivotButton="0" quotePrefix="0" xfId="0"/>
    <xf numFmtId="172" fontId="6" fillId="4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C00000"/>
        <sz val="12"/>
      </font>
    </dxf>
    <dxf>
      <font>
        <name val="Arial"/>
        <b val="1"/>
        <color rgb="00008000"/>
        <sz val="12"/>
      </font>
    </dxf>
    <dxf>
      <fill>
        <patternFill patternType="solid">
          <fgColor rgb="00DDEBF7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C00000"/>
      </font>
    </dxf>
    <dxf>
      <font>
        <name val="Arial"/>
        <b val="1"/>
        <color rgb="00008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Tracker</author>
  </authors>
  <commentList>
    <comment ref="C5" authorId="0" shapeId="0">
      <text>
        <t>Negative = you went over your cap.</t>
      </text>
    </comment>
    <comment ref="C6" authorId="0" shapeId="0">
      <text>
        <t>Negative = you went over your cap.</t>
      </text>
    </comment>
    <comment ref="C7" authorId="0" shapeId="0">
      <text>
        <t>Negative = you went over your cap.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0" customWidth="1" min="3" max="3"/>
  </cols>
  <sheetData>
    <row r="1">
      <c r="A1" s="1" t="inlineStr">
        <is>
          <t>Portside Digital: Ads budget</t>
        </is>
      </c>
    </row>
    <row r="2">
      <c r="A2" s="2" t="inlineStr">
        <is>
          <t>Updates itself from the other sheets. Type only in the yellow cells on Settings, Daily Ads and Leads.</t>
        </is>
      </c>
    </row>
    <row r="4" ht="32" customHeight="1">
      <c r="A4" s="3" t="inlineStr">
        <is>
          <t>Metric</t>
        </is>
      </c>
      <c r="B4" s="3" t="inlineStr">
        <is>
          <t>Value</t>
        </is>
      </c>
      <c r="C4" s="3" t="inlineStr">
        <is>
          <t>What it means</t>
        </is>
      </c>
    </row>
    <row r="5">
      <c r="A5" s="4" t="inlineStr">
        <is>
          <t>Days the ads have run</t>
        </is>
      </c>
      <c r="B5" s="5">
        <f>COUNT('Daily Ads'!$B$5:$B$91)</f>
        <v/>
      </c>
      <c r="C5" s="6" t="inlineStr">
        <is>
          <t>Days with a spend entered.</t>
        </is>
      </c>
    </row>
    <row r="6">
      <c r="A6" s="4" t="inlineStr">
        <is>
          <t>Total ad spend so far</t>
        </is>
      </c>
      <c r="B6" s="7">
        <f>'Daily Ads'!$B$92</f>
        <v/>
      </c>
      <c r="C6" s="6" t="inlineStr">
        <is>
          <t>Everything spent on Meta ads.</t>
        </is>
      </c>
    </row>
    <row r="7">
      <c r="A7" s="4" t="inlineStr">
        <is>
          <t>Average spend per day</t>
        </is>
      </c>
      <c r="B7" s="7">
        <f>IFERROR('Daily Ads'!$B$92/B5,0)</f>
        <v/>
      </c>
      <c r="C7" s="6" t="inlineStr">
        <is>
          <t>Should match your daily budget.</t>
        </is>
      </c>
    </row>
    <row r="8">
      <c r="A8" s="4" t="inlineStr">
        <is>
          <t>Projected ad spend this month</t>
        </is>
      </c>
      <c r="B8" s="7">
        <f>Settings!$B$5*DAY(EOMONTH(TODAY(),0))</f>
        <v/>
      </c>
      <c r="C8" s="6" t="inlineStr">
        <is>
          <t>Daily budget x days in this month.</t>
        </is>
      </c>
    </row>
    <row r="9">
      <c r="A9" s="4" t="inlineStr">
        <is>
          <t>Ad cap left this month</t>
        </is>
      </c>
      <c r="B9" s="7">
        <f>Settings!$B$6-SUMIFS('Daily Ads'!$B$5:$B$91,'Daily Ads'!$A$5:$A$91,"&gt;="&amp;DATE(YEAR(TODAY()),MONTH(TODAY()),1),'Daily Ads'!$A$5:$A$91,"&lt;="&amp;EOMONTH(TODAY(),0))</f>
        <v/>
      </c>
      <c r="C9" s="6" t="inlineStr">
        <is>
          <t>Turns red if you go over the cap.</t>
        </is>
      </c>
    </row>
    <row r="10">
      <c r="A10" s="4" t="inlineStr">
        <is>
          <t>Claude + tools per month</t>
        </is>
      </c>
      <c r="B10" s="7">
        <f>Settings!$B$7+Settings!$B$8</f>
        <v/>
      </c>
      <c r="C10" s="6" t="inlineStr">
        <is>
          <t>Subscriptions.</t>
        </is>
      </c>
    </row>
    <row r="11">
      <c r="A11" s="4" t="inlineStr">
        <is>
          <t>Total leads so far</t>
        </is>
      </c>
      <c r="B11" s="5">
        <f>'Daily Ads'!$E$92</f>
        <v/>
      </c>
      <c r="C11" s="6" t="inlineStr">
        <is>
          <t>WhatsApp chats / form leads from the ads.</t>
        </is>
      </c>
    </row>
    <row r="12">
      <c r="A12" s="4" t="inlineStr">
        <is>
          <t>Cost per lead</t>
        </is>
      </c>
      <c r="B12" s="7">
        <f>IF(B11=0,"No leads yet",B6/B11)</f>
        <v/>
      </c>
      <c r="C12" s="6" t="inlineStr">
        <is>
          <t>Green under US$3, amber US$3-8, red over US$8.</t>
        </is>
      </c>
    </row>
    <row r="13">
      <c r="A13" s="4" t="inlineStr">
        <is>
          <t>Clients won</t>
        </is>
      </c>
      <c r="B13" s="5">
        <f>COUNTIF(Leads!$F$5:$F$304,"Won")</f>
        <v/>
      </c>
      <c r="C13" s="6" t="inlineStr">
        <is>
          <t>Rows marked Won on the Leads sheet.</t>
        </is>
      </c>
    </row>
    <row r="14">
      <c r="A14" s="4" t="inlineStr">
        <is>
          <t>Revenue (TT$)</t>
        </is>
      </c>
      <c r="B14" s="8">
        <f>SUMIF(Leads!$F$5:$F$304,"Won",Leads!$H$5:$H$304)</f>
        <v/>
      </c>
      <c r="C14" s="6" t="inlineStr">
        <is>
          <t>Money paid by clients you won.</t>
        </is>
      </c>
    </row>
    <row r="15">
      <c r="A15" s="4" t="inlineStr">
        <is>
          <t>Profit to date (US$)</t>
        </is>
      </c>
      <c r="B15" s="7">
        <f>Monthly!M8</f>
        <v/>
      </c>
      <c r="C15" s="6" t="inlineStr">
        <is>
          <t>Revenue minus ads, Claude and tools.</t>
        </is>
      </c>
    </row>
    <row r="16">
      <c r="A16" s="4" t="inlineStr">
        <is>
          <t>Clients needed per month to break even</t>
        </is>
      </c>
      <c r="B16" s="5">
        <f>Settings!B15</f>
        <v/>
      </c>
      <c r="C16" s="6" t="inlineStr">
        <is>
          <t>At your starting price.</t>
        </is>
      </c>
    </row>
    <row r="17">
      <c r="A17" s="4" t="inlineStr">
        <is>
          <t>Leads needing follow-up today</t>
        </is>
      </c>
      <c r="B17" s="5">
        <f>COUNTIFS(Leads!$I$5:$I$304,"&lt;="&amp;TODAY(),Leads!$I$5:$I$304,"&lt;&gt;",Leads!$F$5:$F$304,"&lt;&gt;Won",Leads!$F$5:$F$304,"&lt;&gt;Lost",Leads!$F$5:$F$304,"&lt;&gt;Example")</f>
        <v/>
      </c>
      <c r="C17" s="6" t="inlineStr">
        <is>
          <t>Reply to these first.</t>
        </is>
      </c>
    </row>
    <row r="19">
      <c r="A19" s="9" t="inlineStr">
        <is>
          <t>Weekly check (every 7 days)</t>
        </is>
      </c>
    </row>
    <row r="20" ht="32" customHeight="1">
      <c r="A20" s="3" t="inlineStr">
        <is>
          <t>If cost per lead is...</t>
        </is>
      </c>
      <c r="B20" s="3" t="inlineStr">
        <is>
          <t>Signal</t>
        </is>
      </c>
      <c r="C20" s="3" t="inlineStr">
        <is>
          <t>Do this</t>
        </is>
      </c>
    </row>
    <row r="21">
      <c r="A21" s="10" t="inlineStr">
        <is>
          <t>Under US$3 and people reply</t>
        </is>
      </c>
      <c r="B21" s="11" t="inlineStr">
        <is>
          <t>Green</t>
        </is>
      </c>
      <c r="C21" s="10" t="inlineStr">
        <is>
          <t>Keep it running. Raise the budget 20-30% (e.g. $5 -&gt; $6 -&gt; $7.50).</t>
        </is>
      </c>
    </row>
    <row r="22">
      <c r="A22" s="10" t="inlineStr">
        <is>
          <t>US$3 - 8</t>
        </is>
      </c>
      <c r="B22" s="12" t="inlineStr">
        <is>
          <t>Amber</t>
        </is>
      </c>
      <c r="C22" s="10" t="inlineStr">
        <is>
          <t>Keep running and add a second version of the ad (new hook or 15s cut).</t>
        </is>
      </c>
    </row>
    <row r="23">
      <c r="A23" s="10" t="inlineStr">
        <is>
          <t>Over US$8, or no leads after 7 days</t>
        </is>
      </c>
      <c r="B23" s="13" t="inlineStr">
        <is>
          <t>Red</t>
        </is>
      </c>
      <c r="C23" s="10" t="inlineStr">
        <is>
          <t>Change the ad (first 1-2 seconds), not the budget.</t>
        </is>
      </c>
    </row>
    <row r="24">
      <c r="A24" s="10" t="inlineStr">
        <is>
          <t>Lots of clicks, no messages</t>
        </is>
      </c>
      <c r="B24" s="14" t="inlineStr">
        <is>
          <t>Check</t>
        </is>
      </c>
      <c r="C24" s="10" t="inlineStr">
        <is>
          <t>Test the WhatsApp button and pre-filled message yourself.</t>
        </is>
      </c>
    </row>
  </sheetData>
  <conditionalFormatting sqref="B9">
    <cfRule type="cellIs" priority="1" operator="lessThan" dxfId="0">
      <formula>0</formula>
    </cfRule>
  </conditionalFormatting>
  <conditionalFormatting sqref="B12">
    <cfRule type="expression" priority="2" dxfId="1">
      <formula>AND(ISNUMBER(B12),B12&lt;3)</formula>
    </cfRule>
    <cfRule type="expression" priority="3" dxfId="2">
      <formula>AND(ISNUMBER(B12),B12&gt;=3,B12&lt;=8)</formula>
    </cfRule>
    <cfRule type="expression" priority="4" dxfId="0">
      <formula>AND(ISNUMBER(B12),B12&gt;8)</formula>
    </cfRule>
  </conditionalFormatting>
  <conditionalFormatting sqref="B15">
    <cfRule type="cellIs" priority="5" operator="lessThan" dxfId="3">
      <formula>0</formula>
    </cfRule>
    <cfRule type="cellIs" priority="6" operator="greaterThan" dxfId="4">
      <formula>0</formula>
    </cfRule>
  </conditionalFormatting>
  <conditionalFormatting sqref="B17">
    <cfRule type="cellIs" priority="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</cols>
  <sheetData>
    <row r="1">
      <c r="A1" s="1" t="inlineStr">
        <is>
          <t>Settings</t>
        </is>
      </c>
    </row>
    <row r="2">
      <c r="A2" s="2" t="inlineStr">
        <is>
          <t>Yellow cells are yours to change. Every other sheet reads from here.</t>
        </is>
      </c>
    </row>
    <row r="4" ht="32" customHeight="1">
      <c r="A4" s="3" t="inlineStr">
        <is>
          <t>Setting</t>
        </is>
      </c>
      <c r="B4" s="3" t="inlineStr">
        <is>
          <t>Value</t>
        </is>
      </c>
      <c r="C4" s="3" t="inlineStr">
        <is>
          <t>Note</t>
        </is>
      </c>
    </row>
    <row r="5">
      <c r="A5" s="15" t="inlineStr">
        <is>
          <t>Daily ad budget (US$)</t>
        </is>
      </c>
      <c r="B5" s="16" t="n">
        <v>5</v>
      </c>
      <c r="C5" s="6" t="inlineStr">
        <is>
          <t>From you: US$5/day on Meta.</t>
        </is>
      </c>
    </row>
    <row r="6">
      <c r="A6" s="15" t="inlineStr">
        <is>
          <t>Monthly ad spending cap (US$)</t>
        </is>
      </c>
      <c r="B6" s="16" t="n">
        <v>150</v>
      </c>
      <c r="C6" s="6" t="inlineStr">
        <is>
          <t>Set the same cap in Ads Manager &gt; Billing &gt; Account spending limit.</t>
        </is>
      </c>
    </row>
    <row r="7">
      <c r="A7" s="15" t="inlineStr">
        <is>
          <t>Claude Pro subscription (US$/month)</t>
        </is>
      </c>
      <c r="B7" s="16" t="n">
        <v>20</v>
      </c>
      <c r="C7" s="6" t="inlineStr">
        <is>
          <t>Assumed US$20/month. Check claude.ai &gt; Settings &gt; Billing for your exact amount.</t>
        </is>
      </c>
    </row>
    <row r="8">
      <c r="A8" s="15" t="inlineStr">
        <is>
          <t>Other monthly tools (US$)</t>
        </is>
      </c>
      <c r="B8" s="16" t="n">
        <v>0</v>
      </c>
      <c r="C8" s="6" t="inlineStr">
        <is>
          <t>Domain, hosting, Canva etc. GitHub Pages and WhatsApp Business are free.</t>
        </is>
      </c>
    </row>
    <row r="9">
      <c r="A9" s="15" t="inlineStr">
        <is>
          <t>Starting website price (TT$)</t>
        </is>
      </c>
      <c r="B9" s="17" t="n">
        <v>1500</v>
      </c>
      <c r="C9" s="6" t="inlineStr">
        <is>
          <t>From your ad: websites from TT$1,500.</t>
        </is>
      </c>
    </row>
    <row r="10">
      <c r="A10" s="15" t="inlineStr">
        <is>
          <t>Exchange rate (TT$ per US$1)</t>
        </is>
      </c>
      <c r="B10" s="18" t="n">
        <v>6.78</v>
      </c>
      <c r="C10" s="6" t="inlineStr">
        <is>
          <t>Approximate rate - update from your bank if it changes.</t>
        </is>
      </c>
    </row>
    <row r="11">
      <c r="A11" s="15" t="inlineStr">
        <is>
          <t>Ads start date</t>
        </is>
      </c>
      <c r="B11" s="19" t="n">
        <v>46301</v>
      </c>
      <c r="C11" s="6" t="inlineStr">
        <is>
          <t>First ad went live about 12pm on Tue 6 Oct 2026.</t>
        </is>
      </c>
    </row>
    <row r="13">
      <c r="A13" s="4" t="inlineStr">
        <is>
          <t>Website price in US$</t>
        </is>
      </c>
      <c r="B13" s="20">
        <f>Settings!$B$9/Settings!$B$10</f>
        <v/>
      </c>
    </row>
    <row r="14">
      <c r="A14" s="4" t="inlineStr">
        <is>
          <t>Fixed monthly cost (ads cap + Claude + tools)</t>
        </is>
      </c>
      <c r="B14" s="20">
        <f>Settings!$B$6+Settings!$B$7+Settings!$B$8</f>
        <v/>
      </c>
    </row>
    <row r="15">
      <c r="A15" s="4" t="inlineStr">
        <is>
          <t>Clients needed per month to break even</t>
        </is>
      </c>
      <c r="B15" s="21">
        <f>IFERROR(ROUNDUP(B14/B13,0),0)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9" customWidth="1" min="7" max="7"/>
    <col width="16" customWidth="1" min="8" max="8"/>
    <col width="40" customWidth="1" min="9" max="9"/>
  </cols>
  <sheetData>
    <row r="1">
      <c r="A1" s="1" t="inlineStr">
        <is>
          <t>Daily ad log</t>
        </is>
      </c>
    </row>
    <row r="2">
      <c r="A2" s="2" t="inlineStr">
        <is>
          <t>Each day, copy Amount spent, Impressions, Link clicks and Results (WhatsApp conversations) from Ads Manager into the yellow columns.</t>
        </is>
      </c>
    </row>
    <row r="4" ht="32" customHeight="1">
      <c r="A4" s="3" t="inlineStr">
        <is>
          <t>Date</t>
        </is>
      </c>
      <c r="B4" s="3" t="inlineStr">
        <is>
          <t>Spent (US$)</t>
        </is>
      </c>
      <c r="C4" s="3" t="inlineStr">
        <is>
          <t>Impressions</t>
        </is>
      </c>
      <c r="D4" s="3" t="inlineStr">
        <is>
          <t>Clicks</t>
        </is>
      </c>
      <c r="E4" s="3" t="inlineStr">
        <is>
          <t>Leads / WhatsApp chats</t>
        </is>
      </c>
      <c r="F4" s="3" t="inlineStr">
        <is>
          <t>Cost per lead (US$)</t>
        </is>
      </c>
      <c r="G4" s="3" t="inlineStr">
        <is>
          <t>CTR</t>
        </is>
      </c>
      <c r="H4" s="3" t="inlineStr">
        <is>
          <t>Running total spent (US$)</t>
        </is>
      </c>
      <c r="I4" s="3" t="inlineStr">
        <is>
          <t>Notes</t>
        </is>
      </c>
    </row>
    <row r="5">
      <c r="A5" s="22" t="n">
        <v>46301</v>
      </c>
      <c r="B5" s="23" t="n">
        <v>1.87</v>
      </c>
      <c r="C5" s="24" t="n"/>
      <c r="D5" s="24" t="n"/>
      <c r="E5" s="24" t="n">
        <v>1</v>
      </c>
      <c r="F5" s="25">
        <f>IF(OR(B5="",E5="",E5=0),"",B5/E5)</f>
        <v/>
      </c>
      <c r="G5" s="26">
        <f>IF(OR(C5="",C5=0,D5=""),"",D5/C5)</f>
        <v/>
      </c>
      <c r="H5" s="25">
        <f>IF(B5="","",SUM($B$5:B5))</f>
        <v/>
      </c>
      <c r="I5" s="6" t="inlineStr">
        <is>
          <t>From you: US$1.87 spent and 1 message since launch (~12pm Oct 6) - split by day from Ads Manager if you like</t>
        </is>
      </c>
    </row>
    <row r="6">
      <c r="A6" s="22" t="n">
        <v>46302</v>
      </c>
      <c r="B6" s="23" t="n"/>
      <c r="C6" s="24" t="n"/>
      <c r="D6" s="24" t="n"/>
      <c r="E6" s="24" t="n"/>
      <c r="F6" s="25">
        <f>IF(OR(B6="",E6="",E6=0),"",B6/E6)</f>
        <v/>
      </c>
      <c r="G6" s="26">
        <f>IF(OR(C6="",C6=0,D6=""),"",D6/C6)</f>
        <v/>
      </c>
      <c r="H6" s="25">
        <f>IF(B6="","",SUM($B$5:B6))</f>
        <v/>
      </c>
      <c r="I6" s="6" t="n"/>
    </row>
    <row r="7">
      <c r="A7" s="22" t="n">
        <v>46303</v>
      </c>
      <c r="B7" s="23" t="n"/>
      <c r="C7" s="24" t="n"/>
      <c r="D7" s="24" t="n"/>
      <c r="E7" s="24" t="n"/>
      <c r="F7" s="25">
        <f>IF(OR(B7="",E7="",E7=0),"",B7/E7)</f>
        <v/>
      </c>
      <c r="G7" s="26">
        <f>IF(OR(C7="",C7=0,D7=""),"",D7/C7)</f>
        <v/>
      </c>
      <c r="H7" s="25">
        <f>IF(B7="","",SUM($B$5:B7))</f>
        <v/>
      </c>
      <c r="I7" s="6" t="n"/>
    </row>
    <row r="8">
      <c r="A8" s="22" t="n">
        <v>46304</v>
      </c>
      <c r="B8" s="23" t="n"/>
      <c r="C8" s="24" t="n"/>
      <c r="D8" s="24" t="n"/>
      <c r="E8" s="24" t="n"/>
      <c r="F8" s="25">
        <f>IF(OR(B8="",E8="",E8=0),"",B8/E8)</f>
        <v/>
      </c>
      <c r="G8" s="26">
        <f>IF(OR(C8="",C8=0,D8=""),"",D8/C8)</f>
        <v/>
      </c>
      <c r="H8" s="25">
        <f>IF(B8="","",SUM($B$5:B8))</f>
        <v/>
      </c>
      <c r="I8" s="6" t="n"/>
    </row>
    <row r="9">
      <c r="A9" s="22" t="n">
        <v>46305</v>
      </c>
      <c r="B9" s="23" t="n"/>
      <c r="C9" s="24" t="n"/>
      <c r="D9" s="24" t="n"/>
      <c r="E9" s="24" t="n"/>
      <c r="F9" s="25">
        <f>IF(OR(B9="",E9="",E9=0),"",B9/E9)</f>
        <v/>
      </c>
      <c r="G9" s="26">
        <f>IF(OR(C9="",C9=0,D9=""),"",D9/C9)</f>
        <v/>
      </c>
      <c r="H9" s="25">
        <f>IF(B9="","",SUM($B$5:B9))</f>
        <v/>
      </c>
      <c r="I9" s="6" t="n"/>
    </row>
    <row r="10">
      <c r="A10" s="22" t="n">
        <v>46306</v>
      </c>
      <c r="B10" s="23" t="n"/>
      <c r="C10" s="24" t="n"/>
      <c r="D10" s="24" t="n"/>
      <c r="E10" s="24" t="n"/>
      <c r="F10" s="25">
        <f>IF(OR(B10="",E10="",E10=0),"",B10/E10)</f>
        <v/>
      </c>
      <c r="G10" s="26">
        <f>IF(OR(C10="",C10=0,D10=""),"",D10/C10)</f>
        <v/>
      </c>
      <c r="H10" s="25">
        <f>IF(B10="","",SUM($B$5:B10))</f>
        <v/>
      </c>
      <c r="I10" s="6" t="n"/>
    </row>
    <row r="11">
      <c r="A11" s="22" t="n">
        <v>46307</v>
      </c>
      <c r="B11" s="23" t="n"/>
      <c r="C11" s="24" t="n"/>
      <c r="D11" s="24" t="n"/>
      <c r="E11" s="24" t="n"/>
      <c r="F11" s="25">
        <f>IF(OR(B11="",E11="",E11=0),"",B11/E11)</f>
        <v/>
      </c>
      <c r="G11" s="26">
        <f>IF(OR(C11="",C11=0,D11=""),"",D11/C11)</f>
        <v/>
      </c>
      <c r="H11" s="25">
        <f>IF(B11="","",SUM($B$5:B11))</f>
        <v/>
      </c>
      <c r="I11" s="6" t="n"/>
    </row>
    <row r="12">
      <c r="A12" s="22" t="n">
        <v>46308</v>
      </c>
      <c r="B12" s="23" t="n"/>
      <c r="C12" s="24" t="n"/>
      <c r="D12" s="24" t="n"/>
      <c r="E12" s="24" t="n"/>
      <c r="F12" s="25">
        <f>IF(OR(B12="",E12="",E12=0),"",B12/E12)</f>
        <v/>
      </c>
      <c r="G12" s="26">
        <f>IF(OR(C12="",C12=0,D12=""),"",D12/C12)</f>
        <v/>
      </c>
      <c r="H12" s="25">
        <f>IF(B12="","",SUM($B$5:B12))</f>
        <v/>
      </c>
      <c r="I12" s="6" t="n"/>
    </row>
    <row r="13">
      <c r="A13" s="22" t="n">
        <v>46309</v>
      </c>
      <c r="B13" s="23" t="n"/>
      <c r="C13" s="24" t="n"/>
      <c r="D13" s="24" t="n"/>
      <c r="E13" s="24" t="n"/>
      <c r="F13" s="25">
        <f>IF(OR(B13="",E13="",E13=0),"",B13/E13)</f>
        <v/>
      </c>
      <c r="G13" s="26">
        <f>IF(OR(C13="",C13=0,D13=""),"",D13/C13)</f>
        <v/>
      </c>
      <c r="H13" s="25">
        <f>IF(B13="","",SUM($B$5:B13))</f>
        <v/>
      </c>
      <c r="I13" s="6" t="n"/>
    </row>
    <row r="14">
      <c r="A14" s="22" t="n">
        <v>46310</v>
      </c>
      <c r="B14" s="23" t="n"/>
      <c r="C14" s="24" t="n"/>
      <c r="D14" s="24" t="n"/>
      <c r="E14" s="24" t="n"/>
      <c r="F14" s="25">
        <f>IF(OR(B14="",E14="",E14=0),"",B14/E14)</f>
        <v/>
      </c>
      <c r="G14" s="26">
        <f>IF(OR(C14="",C14=0,D14=""),"",D14/C14)</f>
        <v/>
      </c>
      <c r="H14" s="25">
        <f>IF(B14="","",SUM($B$5:B14))</f>
        <v/>
      </c>
      <c r="I14" s="6" t="n"/>
    </row>
    <row r="15">
      <c r="A15" s="22" t="n">
        <v>46311</v>
      </c>
      <c r="B15" s="23" t="n"/>
      <c r="C15" s="24" t="n"/>
      <c r="D15" s="24" t="n"/>
      <c r="E15" s="24" t="n"/>
      <c r="F15" s="25">
        <f>IF(OR(B15="",E15="",E15=0),"",B15/E15)</f>
        <v/>
      </c>
      <c r="G15" s="26">
        <f>IF(OR(C15="",C15=0,D15=""),"",D15/C15)</f>
        <v/>
      </c>
      <c r="H15" s="25">
        <f>IF(B15="","",SUM($B$5:B15))</f>
        <v/>
      </c>
      <c r="I15" s="6" t="n"/>
    </row>
    <row r="16">
      <c r="A16" s="22" t="n">
        <v>46312</v>
      </c>
      <c r="B16" s="23" t="n"/>
      <c r="C16" s="24" t="n"/>
      <c r="D16" s="24" t="n"/>
      <c r="E16" s="24" t="n"/>
      <c r="F16" s="25">
        <f>IF(OR(B16="",E16="",E16=0),"",B16/E16)</f>
        <v/>
      </c>
      <c r="G16" s="26">
        <f>IF(OR(C16="",C16=0,D16=""),"",D16/C16)</f>
        <v/>
      </c>
      <c r="H16" s="25">
        <f>IF(B16="","",SUM($B$5:B16))</f>
        <v/>
      </c>
      <c r="I16" s="6" t="n"/>
    </row>
    <row r="17">
      <c r="A17" s="22" t="n">
        <v>46313</v>
      </c>
      <c r="B17" s="23" t="n"/>
      <c r="C17" s="24" t="n"/>
      <c r="D17" s="24" t="n"/>
      <c r="E17" s="24" t="n"/>
      <c r="F17" s="25">
        <f>IF(OR(B17="",E17="",E17=0),"",B17/E17)</f>
        <v/>
      </c>
      <c r="G17" s="26">
        <f>IF(OR(C17="",C17=0,D17=""),"",D17/C17)</f>
        <v/>
      </c>
      <c r="H17" s="25">
        <f>IF(B17="","",SUM($B$5:B17))</f>
        <v/>
      </c>
      <c r="I17" s="6" t="n"/>
    </row>
    <row r="18">
      <c r="A18" s="22" t="n">
        <v>46314</v>
      </c>
      <c r="B18" s="23" t="n"/>
      <c r="C18" s="24" t="n"/>
      <c r="D18" s="24" t="n"/>
      <c r="E18" s="24" t="n"/>
      <c r="F18" s="25">
        <f>IF(OR(B18="",E18="",E18=0),"",B18/E18)</f>
        <v/>
      </c>
      <c r="G18" s="26">
        <f>IF(OR(C18="",C18=0,D18=""),"",D18/C18)</f>
        <v/>
      </c>
      <c r="H18" s="25">
        <f>IF(B18="","",SUM($B$5:B18))</f>
        <v/>
      </c>
      <c r="I18" s="6" t="n"/>
    </row>
    <row r="19">
      <c r="A19" s="22" t="n">
        <v>46315</v>
      </c>
      <c r="B19" s="23" t="n"/>
      <c r="C19" s="24" t="n"/>
      <c r="D19" s="24" t="n"/>
      <c r="E19" s="24" t="n"/>
      <c r="F19" s="25">
        <f>IF(OR(B19="",E19="",E19=0),"",B19/E19)</f>
        <v/>
      </c>
      <c r="G19" s="26">
        <f>IF(OR(C19="",C19=0,D19=""),"",D19/C19)</f>
        <v/>
      </c>
      <c r="H19" s="25">
        <f>IF(B19="","",SUM($B$5:B19))</f>
        <v/>
      </c>
      <c r="I19" s="6" t="n"/>
    </row>
    <row r="20">
      <c r="A20" s="22" t="n">
        <v>46316</v>
      </c>
      <c r="B20" s="23" t="n"/>
      <c r="C20" s="24" t="n"/>
      <c r="D20" s="24" t="n"/>
      <c r="E20" s="24" t="n"/>
      <c r="F20" s="25">
        <f>IF(OR(B20="",E20="",E20=0),"",B20/E20)</f>
        <v/>
      </c>
      <c r="G20" s="26">
        <f>IF(OR(C20="",C20=0,D20=""),"",D20/C20)</f>
        <v/>
      </c>
      <c r="H20" s="25">
        <f>IF(B20="","",SUM($B$5:B20))</f>
        <v/>
      </c>
      <c r="I20" s="6" t="n"/>
    </row>
    <row r="21">
      <c r="A21" s="22" t="n">
        <v>46317</v>
      </c>
      <c r="B21" s="23" t="n"/>
      <c r="C21" s="24" t="n"/>
      <c r="D21" s="24" t="n"/>
      <c r="E21" s="24" t="n"/>
      <c r="F21" s="25">
        <f>IF(OR(B21="",E21="",E21=0),"",B21/E21)</f>
        <v/>
      </c>
      <c r="G21" s="26">
        <f>IF(OR(C21="",C21=0,D21=""),"",D21/C21)</f>
        <v/>
      </c>
      <c r="H21" s="25">
        <f>IF(B21="","",SUM($B$5:B21))</f>
        <v/>
      </c>
      <c r="I21" s="6" t="n"/>
    </row>
    <row r="22">
      <c r="A22" s="22" t="n">
        <v>46318</v>
      </c>
      <c r="B22" s="23" t="n"/>
      <c r="C22" s="24" t="n"/>
      <c r="D22" s="24" t="n"/>
      <c r="E22" s="24" t="n"/>
      <c r="F22" s="25">
        <f>IF(OR(B22="",E22="",E22=0),"",B22/E22)</f>
        <v/>
      </c>
      <c r="G22" s="26">
        <f>IF(OR(C22="",C22=0,D22=""),"",D22/C22)</f>
        <v/>
      </c>
      <c r="H22" s="25">
        <f>IF(B22="","",SUM($B$5:B22))</f>
        <v/>
      </c>
      <c r="I22" s="6" t="n"/>
    </row>
    <row r="23">
      <c r="A23" s="22" t="n">
        <v>46319</v>
      </c>
      <c r="B23" s="23" t="n"/>
      <c r="C23" s="24" t="n"/>
      <c r="D23" s="24" t="n"/>
      <c r="E23" s="24" t="n"/>
      <c r="F23" s="25">
        <f>IF(OR(B23="",E23="",E23=0),"",B23/E23)</f>
        <v/>
      </c>
      <c r="G23" s="26">
        <f>IF(OR(C23="",C23=0,D23=""),"",D23/C23)</f>
        <v/>
      </c>
      <c r="H23" s="25">
        <f>IF(B23="","",SUM($B$5:B23))</f>
        <v/>
      </c>
      <c r="I23" s="6" t="n"/>
    </row>
    <row r="24">
      <c r="A24" s="22" t="n">
        <v>46320</v>
      </c>
      <c r="B24" s="23" t="n"/>
      <c r="C24" s="24" t="n"/>
      <c r="D24" s="24" t="n"/>
      <c r="E24" s="24" t="n"/>
      <c r="F24" s="25">
        <f>IF(OR(B24="",E24="",E24=0),"",B24/E24)</f>
        <v/>
      </c>
      <c r="G24" s="26">
        <f>IF(OR(C24="",C24=0,D24=""),"",D24/C24)</f>
        <v/>
      </c>
      <c r="H24" s="25">
        <f>IF(B24="","",SUM($B$5:B24))</f>
        <v/>
      </c>
      <c r="I24" s="6" t="n"/>
    </row>
    <row r="25">
      <c r="A25" s="22" t="n">
        <v>46321</v>
      </c>
      <c r="B25" s="23" t="n"/>
      <c r="C25" s="24" t="n"/>
      <c r="D25" s="24" t="n"/>
      <c r="E25" s="24" t="n"/>
      <c r="F25" s="25">
        <f>IF(OR(B25="",E25="",E25=0),"",B25/E25)</f>
        <v/>
      </c>
      <c r="G25" s="26">
        <f>IF(OR(C25="",C25=0,D25=""),"",D25/C25)</f>
        <v/>
      </c>
      <c r="H25" s="25">
        <f>IF(B25="","",SUM($B$5:B25))</f>
        <v/>
      </c>
      <c r="I25" s="6" t="n"/>
    </row>
    <row r="26">
      <c r="A26" s="22" t="n">
        <v>46322</v>
      </c>
      <c r="B26" s="23" t="n"/>
      <c r="C26" s="24" t="n"/>
      <c r="D26" s="24" t="n"/>
      <c r="E26" s="24" t="n"/>
      <c r="F26" s="25">
        <f>IF(OR(B26="",E26="",E26=0),"",B26/E26)</f>
        <v/>
      </c>
      <c r="G26" s="26">
        <f>IF(OR(C26="",C26=0,D26=""),"",D26/C26)</f>
        <v/>
      </c>
      <c r="H26" s="25">
        <f>IF(B26="","",SUM($B$5:B26))</f>
        <v/>
      </c>
      <c r="I26" s="6" t="n"/>
    </row>
    <row r="27">
      <c r="A27" s="22" t="n">
        <v>46323</v>
      </c>
      <c r="B27" s="23" t="n"/>
      <c r="C27" s="24" t="n"/>
      <c r="D27" s="24" t="n"/>
      <c r="E27" s="24" t="n"/>
      <c r="F27" s="25">
        <f>IF(OR(B27="",E27="",E27=0),"",B27/E27)</f>
        <v/>
      </c>
      <c r="G27" s="26">
        <f>IF(OR(C27="",C27=0,D27=""),"",D27/C27)</f>
        <v/>
      </c>
      <c r="H27" s="25">
        <f>IF(B27="","",SUM($B$5:B27))</f>
        <v/>
      </c>
      <c r="I27" s="6" t="n"/>
    </row>
    <row r="28">
      <c r="A28" s="22" t="n">
        <v>46324</v>
      </c>
      <c r="B28" s="23" t="n"/>
      <c r="C28" s="24" t="n"/>
      <c r="D28" s="24" t="n"/>
      <c r="E28" s="24" t="n"/>
      <c r="F28" s="25">
        <f>IF(OR(B28="",E28="",E28=0),"",B28/E28)</f>
        <v/>
      </c>
      <c r="G28" s="26">
        <f>IF(OR(C28="",C28=0,D28=""),"",D28/C28)</f>
        <v/>
      </c>
      <c r="H28" s="25">
        <f>IF(B28="","",SUM($B$5:B28))</f>
        <v/>
      </c>
      <c r="I28" s="6" t="n"/>
    </row>
    <row r="29">
      <c r="A29" s="22" t="n">
        <v>46325</v>
      </c>
      <c r="B29" s="23" t="n"/>
      <c r="C29" s="24" t="n"/>
      <c r="D29" s="24" t="n"/>
      <c r="E29" s="24" t="n"/>
      <c r="F29" s="25">
        <f>IF(OR(B29="",E29="",E29=0),"",B29/E29)</f>
        <v/>
      </c>
      <c r="G29" s="26">
        <f>IF(OR(C29="",C29=0,D29=""),"",D29/C29)</f>
        <v/>
      </c>
      <c r="H29" s="25">
        <f>IF(B29="","",SUM($B$5:B29))</f>
        <v/>
      </c>
      <c r="I29" s="6" t="n"/>
    </row>
    <row r="30">
      <c r="A30" s="22" t="n">
        <v>46326</v>
      </c>
      <c r="B30" s="23" t="n"/>
      <c r="C30" s="24" t="n"/>
      <c r="D30" s="24" t="n"/>
      <c r="E30" s="24" t="n"/>
      <c r="F30" s="25">
        <f>IF(OR(B30="",E30="",E30=0),"",B30/E30)</f>
        <v/>
      </c>
      <c r="G30" s="26">
        <f>IF(OR(C30="",C30=0,D30=""),"",D30/C30)</f>
        <v/>
      </c>
      <c r="H30" s="25">
        <f>IF(B30="","",SUM($B$5:B30))</f>
        <v/>
      </c>
      <c r="I30" s="6" t="n"/>
    </row>
    <row r="31">
      <c r="A31" s="22" t="n">
        <v>46327</v>
      </c>
      <c r="B31" s="23" t="n"/>
      <c r="C31" s="24" t="n"/>
      <c r="D31" s="24" t="n"/>
      <c r="E31" s="24" t="n"/>
      <c r="F31" s="25">
        <f>IF(OR(B31="",E31="",E31=0),"",B31/E31)</f>
        <v/>
      </c>
      <c r="G31" s="26">
        <f>IF(OR(C31="",C31=0,D31=""),"",D31/C31)</f>
        <v/>
      </c>
      <c r="H31" s="25">
        <f>IF(B31="","",SUM($B$5:B31))</f>
        <v/>
      </c>
      <c r="I31" s="6" t="n"/>
    </row>
    <row r="32">
      <c r="A32" s="22" t="n">
        <v>46328</v>
      </c>
      <c r="B32" s="23" t="n"/>
      <c r="C32" s="24" t="n"/>
      <c r="D32" s="24" t="n"/>
      <c r="E32" s="24" t="n"/>
      <c r="F32" s="25">
        <f>IF(OR(B32="",E32="",E32=0),"",B32/E32)</f>
        <v/>
      </c>
      <c r="G32" s="26">
        <f>IF(OR(C32="",C32=0,D32=""),"",D32/C32)</f>
        <v/>
      </c>
      <c r="H32" s="25">
        <f>IF(B32="","",SUM($B$5:B32))</f>
        <v/>
      </c>
      <c r="I32" s="6" t="n"/>
    </row>
    <row r="33">
      <c r="A33" s="22" t="n">
        <v>46329</v>
      </c>
      <c r="B33" s="23" t="n"/>
      <c r="C33" s="24" t="n"/>
      <c r="D33" s="24" t="n"/>
      <c r="E33" s="24" t="n"/>
      <c r="F33" s="25">
        <f>IF(OR(B33="",E33="",E33=0),"",B33/E33)</f>
        <v/>
      </c>
      <c r="G33" s="26">
        <f>IF(OR(C33="",C33=0,D33=""),"",D33/C33)</f>
        <v/>
      </c>
      <c r="H33" s="25">
        <f>IF(B33="","",SUM($B$5:B33))</f>
        <v/>
      </c>
      <c r="I33" s="6" t="n"/>
    </row>
    <row r="34">
      <c r="A34" s="22" t="n">
        <v>46330</v>
      </c>
      <c r="B34" s="23" t="n"/>
      <c r="C34" s="24" t="n"/>
      <c r="D34" s="24" t="n"/>
      <c r="E34" s="24" t="n"/>
      <c r="F34" s="25">
        <f>IF(OR(B34="",E34="",E34=0),"",B34/E34)</f>
        <v/>
      </c>
      <c r="G34" s="26">
        <f>IF(OR(C34="",C34=0,D34=""),"",D34/C34)</f>
        <v/>
      </c>
      <c r="H34" s="25">
        <f>IF(B34="","",SUM($B$5:B34))</f>
        <v/>
      </c>
      <c r="I34" s="6" t="n"/>
    </row>
    <row r="35">
      <c r="A35" s="22" t="n">
        <v>46331</v>
      </c>
      <c r="B35" s="23" t="n"/>
      <c r="C35" s="24" t="n"/>
      <c r="D35" s="24" t="n"/>
      <c r="E35" s="24" t="n"/>
      <c r="F35" s="25">
        <f>IF(OR(B35="",E35="",E35=0),"",B35/E35)</f>
        <v/>
      </c>
      <c r="G35" s="26">
        <f>IF(OR(C35="",C35=0,D35=""),"",D35/C35)</f>
        <v/>
      </c>
      <c r="H35" s="25">
        <f>IF(B35="","",SUM($B$5:B35))</f>
        <v/>
      </c>
      <c r="I35" s="6" t="n"/>
    </row>
    <row r="36">
      <c r="A36" s="22" t="n">
        <v>46332</v>
      </c>
      <c r="B36" s="23" t="n"/>
      <c r="C36" s="24" t="n"/>
      <c r="D36" s="24" t="n"/>
      <c r="E36" s="24" t="n"/>
      <c r="F36" s="25">
        <f>IF(OR(B36="",E36="",E36=0),"",B36/E36)</f>
        <v/>
      </c>
      <c r="G36" s="26">
        <f>IF(OR(C36="",C36=0,D36=""),"",D36/C36)</f>
        <v/>
      </c>
      <c r="H36" s="25">
        <f>IF(B36="","",SUM($B$5:B36))</f>
        <v/>
      </c>
      <c r="I36" s="6" t="n"/>
    </row>
    <row r="37">
      <c r="A37" s="22" t="n">
        <v>46333</v>
      </c>
      <c r="B37" s="23" t="n"/>
      <c r="C37" s="24" t="n"/>
      <c r="D37" s="24" t="n"/>
      <c r="E37" s="24" t="n"/>
      <c r="F37" s="25">
        <f>IF(OR(B37="",E37="",E37=0),"",B37/E37)</f>
        <v/>
      </c>
      <c r="G37" s="26">
        <f>IF(OR(C37="",C37=0,D37=""),"",D37/C37)</f>
        <v/>
      </c>
      <c r="H37" s="25">
        <f>IF(B37="","",SUM($B$5:B37))</f>
        <v/>
      </c>
      <c r="I37" s="6" t="n"/>
    </row>
    <row r="38">
      <c r="A38" s="22" t="n">
        <v>46334</v>
      </c>
      <c r="B38" s="23" t="n"/>
      <c r="C38" s="24" t="n"/>
      <c r="D38" s="24" t="n"/>
      <c r="E38" s="24" t="n"/>
      <c r="F38" s="25">
        <f>IF(OR(B38="",E38="",E38=0),"",B38/E38)</f>
        <v/>
      </c>
      <c r="G38" s="26">
        <f>IF(OR(C38="",C38=0,D38=""),"",D38/C38)</f>
        <v/>
      </c>
      <c r="H38" s="25">
        <f>IF(B38="","",SUM($B$5:B38))</f>
        <v/>
      </c>
      <c r="I38" s="6" t="n"/>
    </row>
    <row r="39">
      <c r="A39" s="22" t="n">
        <v>46335</v>
      </c>
      <c r="B39" s="23" t="n"/>
      <c r="C39" s="24" t="n"/>
      <c r="D39" s="24" t="n"/>
      <c r="E39" s="24" t="n"/>
      <c r="F39" s="25">
        <f>IF(OR(B39="",E39="",E39=0),"",B39/E39)</f>
        <v/>
      </c>
      <c r="G39" s="26">
        <f>IF(OR(C39="",C39=0,D39=""),"",D39/C39)</f>
        <v/>
      </c>
      <c r="H39" s="25">
        <f>IF(B39="","",SUM($B$5:B39))</f>
        <v/>
      </c>
      <c r="I39" s="6" t="n"/>
    </row>
    <row r="40">
      <c r="A40" s="22" t="n">
        <v>46336</v>
      </c>
      <c r="B40" s="23" t="n"/>
      <c r="C40" s="24" t="n"/>
      <c r="D40" s="24" t="n"/>
      <c r="E40" s="24" t="n"/>
      <c r="F40" s="25">
        <f>IF(OR(B40="",E40="",E40=0),"",B40/E40)</f>
        <v/>
      </c>
      <c r="G40" s="26">
        <f>IF(OR(C40="",C40=0,D40=""),"",D40/C40)</f>
        <v/>
      </c>
      <c r="H40" s="25">
        <f>IF(B40="","",SUM($B$5:B40))</f>
        <v/>
      </c>
      <c r="I40" s="6" t="n"/>
    </row>
    <row r="41">
      <c r="A41" s="22" t="n">
        <v>46337</v>
      </c>
      <c r="B41" s="23" t="n"/>
      <c r="C41" s="24" t="n"/>
      <c r="D41" s="24" t="n"/>
      <c r="E41" s="24" t="n"/>
      <c r="F41" s="25">
        <f>IF(OR(B41="",E41="",E41=0),"",B41/E41)</f>
        <v/>
      </c>
      <c r="G41" s="26">
        <f>IF(OR(C41="",C41=0,D41=""),"",D41/C41)</f>
        <v/>
      </c>
      <c r="H41" s="25">
        <f>IF(B41="","",SUM($B$5:B41))</f>
        <v/>
      </c>
      <c r="I41" s="6" t="n"/>
    </row>
    <row r="42">
      <c r="A42" s="22" t="n">
        <v>46338</v>
      </c>
      <c r="B42" s="23" t="n"/>
      <c r="C42" s="24" t="n"/>
      <c r="D42" s="24" t="n"/>
      <c r="E42" s="24" t="n"/>
      <c r="F42" s="25">
        <f>IF(OR(B42="",E42="",E42=0),"",B42/E42)</f>
        <v/>
      </c>
      <c r="G42" s="26">
        <f>IF(OR(C42="",C42=0,D42=""),"",D42/C42)</f>
        <v/>
      </c>
      <c r="H42" s="25">
        <f>IF(B42="","",SUM($B$5:B42))</f>
        <v/>
      </c>
      <c r="I42" s="6" t="n"/>
    </row>
    <row r="43">
      <c r="A43" s="22" t="n">
        <v>46339</v>
      </c>
      <c r="B43" s="23" t="n"/>
      <c r="C43" s="24" t="n"/>
      <c r="D43" s="24" t="n"/>
      <c r="E43" s="24" t="n"/>
      <c r="F43" s="25">
        <f>IF(OR(B43="",E43="",E43=0),"",B43/E43)</f>
        <v/>
      </c>
      <c r="G43" s="26">
        <f>IF(OR(C43="",C43=0,D43=""),"",D43/C43)</f>
        <v/>
      </c>
      <c r="H43" s="25">
        <f>IF(B43="","",SUM($B$5:B43))</f>
        <v/>
      </c>
      <c r="I43" s="6" t="n"/>
    </row>
    <row r="44">
      <c r="A44" s="22" t="n">
        <v>46340</v>
      </c>
      <c r="B44" s="23" t="n"/>
      <c r="C44" s="24" t="n"/>
      <c r="D44" s="24" t="n"/>
      <c r="E44" s="24" t="n"/>
      <c r="F44" s="25">
        <f>IF(OR(B44="",E44="",E44=0),"",B44/E44)</f>
        <v/>
      </c>
      <c r="G44" s="26">
        <f>IF(OR(C44="",C44=0,D44=""),"",D44/C44)</f>
        <v/>
      </c>
      <c r="H44" s="25">
        <f>IF(B44="","",SUM($B$5:B44))</f>
        <v/>
      </c>
      <c r="I44" s="6" t="n"/>
    </row>
    <row r="45">
      <c r="A45" s="22" t="n">
        <v>46341</v>
      </c>
      <c r="B45" s="23" t="n"/>
      <c r="C45" s="24" t="n"/>
      <c r="D45" s="24" t="n"/>
      <c r="E45" s="24" t="n"/>
      <c r="F45" s="25">
        <f>IF(OR(B45="",E45="",E45=0),"",B45/E45)</f>
        <v/>
      </c>
      <c r="G45" s="26">
        <f>IF(OR(C45="",C45=0,D45=""),"",D45/C45)</f>
        <v/>
      </c>
      <c r="H45" s="25">
        <f>IF(B45="","",SUM($B$5:B45))</f>
        <v/>
      </c>
      <c r="I45" s="6" t="n"/>
    </row>
    <row r="46">
      <c r="A46" s="22" t="n">
        <v>46342</v>
      </c>
      <c r="B46" s="23" t="n"/>
      <c r="C46" s="24" t="n"/>
      <c r="D46" s="24" t="n"/>
      <c r="E46" s="24" t="n"/>
      <c r="F46" s="25">
        <f>IF(OR(B46="",E46="",E46=0),"",B46/E46)</f>
        <v/>
      </c>
      <c r="G46" s="26">
        <f>IF(OR(C46="",C46=0,D46=""),"",D46/C46)</f>
        <v/>
      </c>
      <c r="H46" s="25">
        <f>IF(B46="","",SUM($B$5:B46))</f>
        <v/>
      </c>
      <c r="I46" s="6" t="n"/>
    </row>
    <row r="47">
      <c r="A47" s="22" t="n">
        <v>46343</v>
      </c>
      <c r="B47" s="23" t="n"/>
      <c r="C47" s="24" t="n"/>
      <c r="D47" s="24" t="n"/>
      <c r="E47" s="24" t="n"/>
      <c r="F47" s="25">
        <f>IF(OR(B47="",E47="",E47=0),"",B47/E47)</f>
        <v/>
      </c>
      <c r="G47" s="26">
        <f>IF(OR(C47="",C47=0,D47=""),"",D47/C47)</f>
        <v/>
      </c>
      <c r="H47" s="25">
        <f>IF(B47="","",SUM($B$5:B47))</f>
        <v/>
      </c>
      <c r="I47" s="6" t="n"/>
    </row>
    <row r="48">
      <c r="A48" s="22" t="n">
        <v>46344</v>
      </c>
      <c r="B48" s="23" t="n"/>
      <c r="C48" s="24" t="n"/>
      <c r="D48" s="24" t="n"/>
      <c r="E48" s="24" t="n"/>
      <c r="F48" s="25">
        <f>IF(OR(B48="",E48="",E48=0),"",B48/E48)</f>
        <v/>
      </c>
      <c r="G48" s="26">
        <f>IF(OR(C48="",C48=0,D48=""),"",D48/C48)</f>
        <v/>
      </c>
      <c r="H48" s="25">
        <f>IF(B48="","",SUM($B$5:B48))</f>
        <v/>
      </c>
      <c r="I48" s="6" t="n"/>
    </row>
    <row r="49">
      <c r="A49" s="22" t="n">
        <v>46345</v>
      </c>
      <c r="B49" s="23" t="n"/>
      <c r="C49" s="24" t="n"/>
      <c r="D49" s="24" t="n"/>
      <c r="E49" s="24" t="n"/>
      <c r="F49" s="25">
        <f>IF(OR(B49="",E49="",E49=0),"",B49/E49)</f>
        <v/>
      </c>
      <c r="G49" s="26">
        <f>IF(OR(C49="",C49=0,D49=""),"",D49/C49)</f>
        <v/>
      </c>
      <c r="H49" s="25">
        <f>IF(B49="","",SUM($B$5:B49))</f>
        <v/>
      </c>
      <c r="I49" s="6" t="n"/>
    </row>
    <row r="50">
      <c r="A50" s="22" t="n">
        <v>46346</v>
      </c>
      <c r="B50" s="23" t="n"/>
      <c r="C50" s="24" t="n"/>
      <c r="D50" s="24" t="n"/>
      <c r="E50" s="24" t="n"/>
      <c r="F50" s="25">
        <f>IF(OR(B50="",E50="",E50=0),"",B50/E50)</f>
        <v/>
      </c>
      <c r="G50" s="26">
        <f>IF(OR(C50="",C50=0,D50=""),"",D50/C50)</f>
        <v/>
      </c>
      <c r="H50" s="25">
        <f>IF(B50="","",SUM($B$5:B50))</f>
        <v/>
      </c>
      <c r="I50" s="6" t="n"/>
    </row>
    <row r="51">
      <c r="A51" s="22" t="n">
        <v>46347</v>
      </c>
      <c r="B51" s="23" t="n"/>
      <c r="C51" s="24" t="n"/>
      <c r="D51" s="24" t="n"/>
      <c r="E51" s="24" t="n"/>
      <c r="F51" s="25">
        <f>IF(OR(B51="",E51="",E51=0),"",B51/E51)</f>
        <v/>
      </c>
      <c r="G51" s="26">
        <f>IF(OR(C51="",C51=0,D51=""),"",D51/C51)</f>
        <v/>
      </c>
      <c r="H51" s="25">
        <f>IF(B51="","",SUM($B$5:B51))</f>
        <v/>
      </c>
      <c r="I51" s="6" t="n"/>
    </row>
    <row r="52">
      <c r="A52" s="22" t="n">
        <v>46348</v>
      </c>
      <c r="B52" s="23" t="n"/>
      <c r="C52" s="24" t="n"/>
      <c r="D52" s="24" t="n"/>
      <c r="E52" s="24" t="n"/>
      <c r="F52" s="25">
        <f>IF(OR(B52="",E52="",E52=0),"",B52/E52)</f>
        <v/>
      </c>
      <c r="G52" s="26">
        <f>IF(OR(C52="",C52=0,D52=""),"",D52/C52)</f>
        <v/>
      </c>
      <c r="H52" s="25">
        <f>IF(B52="","",SUM($B$5:B52))</f>
        <v/>
      </c>
      <c r="I52" s="6" t="n"/>
    </row>
    <row r="53">
      <c r="A53" s="22" t="n">
        <v>46349</v>
      </c>
      <c r="B53" s="23" t="n"/>
      <c r="C53" s="24" t="n"/>
      <c r="D53" s="24" t="n"/>
      <c r="E53" s="24" t="n"/>
      <c r="F53" s="25">
        <f>IF(OR(B53="",E53="",E53=0),"",B53/E53)</f>
        <v/>
      </c>
      <c r="G53" s="26">
        <f>IF(OR(C53="",C53=0,D53=""),"",D53/C53)</f>
        <v/>
      </c>
      <c r="H53" s="25">
        <f>IF(B53="","",SUM($B$5:B53))</f>
        <v/>
      </c>
      <c r="I53" s="6" t="n"/>
    </row>
    <row r="54">
      <c r="A54" s="22" t="n">
        <v>46350</v>
      </c>
      <c r="B54" s="23" t="n"/>
      <c r="C54" s="24" t="n"/>
      <c r="D54" s="24" t="n"/>
      <c r="E54" s="24" t="n"/>
      <c r="F54" s="25">
        <f>IF(OR(B54="",E54="",E54=0),"",B54/E54)</f>
        <v/>
      </c>
      <c r="G54" s="26">
        <f>IF(OR(C54="",C54=0,D54=""),"",D54/C54)</f>
        <v/>
      </c>
      <c r="H54" s="25">
        <f>IF(B54="","",SUM($B$5:B54))</f>
        <v/>
      </c>
      <c r="I54" s="6" t="n"/>
    </row>
    <row r="55">
      <c r="A55" s="22" t="n">
        <v>46351</v>
      </c>
      <c r="B55" s="23" t="n"/>
      <c r="C55" s="24" t="n"/>
      <c r="D55" s="24" t="n"/>
      <c r="E55" s="24" t="n"/>
      <c r="F55" s="25">
        <f>IF(OR(B55="",E55="",E55=0),"",B55/E55)</f>
        <v/>
      </c>
      <c r="G55" s="26">
        <f>IF(OR(C55="",C55=0,D55=""),"",D55/C55)</f>
        <v/>
      </c>
      <c r="H55" s="25">
        <f>IF(B55="","",SUM($B$5:B55))</f>
        <v/>
      </c>
      <c r="I55" s="6" t="n"/>
    </row>
    <row r="56">
      <c r="A56" s="22" t="n">
        <v>46352</v>
      </c>
      <c r="B56" s="23" t="n"/>
      <c r="C56" s="24" t="n"/>
      <c r="D56" s="24" t="n"/>
      <c r="E56" s="24" t="n"/>
      <c r="F56" s="25">
        <f>IF(OR(B56="",E56="",E56=0),"",B56/E56)</f>
        <v/>
      </c>
      <c r="G56" s="26">
        <f>IF(OR(C56="",C56=0,D56=""),"",D56/C56)</f>
        <v/>
      </c>
      <c r="H56" s="25">
        <f>IF(B56="","",SUM($B$5:B56))</f>
        <v/>
      </c>
      <c r="I56" s="6" t="n"/>
    </row>
    <row r="57">
      <c r="A57" s="22" t="n">
        <v>46353</v>
      </c>
      <c r="B57" s="23" t="n"/>
      <c r="C57" s="24" t="n"/>
      <c r="D57" s="24" t="n"/>
      <c r="E57" s="24" t="n"/>
      <c r="F57" s="25">
        <f>IF(OR(B57="",E57="",E57=0),"",B57/E57)</f>
        <v/>
      </c>
      <c r="G57" s="26">
        <f>IF(OR(C57="",C57=0,D57=""),"",D57/C57)</f>
        <v/>
      </c>
      <c r="H57" s="25">
        <f>IF(B57="","",SUM($B$5:B57))</f>
        <v/>
      </c>
      <c r="I57" s="6" t="n"/>
    </row>
    <row r="58">
      <c r="A58" s="22" t="n">
        <v>46354</v>
      </c>
      <c r="B58" s="23" t="n"/>
      <c r="C58" s="24" t="n"/>
      <c r="D58" s="24" t="n"/>
      <c r="E58" s="24" t="n"/>
      <c r="F58" s="25">
        <f>IF(OR(B58="",E58="",E58=0),"",B58/E58)</f>
        <v/>
      </c>
      <c r="G58" s="26">
        <f>IF(OR(C58="",C58=0,D58=""),"",D58/C58)</f>
        <v/>
      </c>
      <c r="H58" s="25">
        <f>IF(B58="","",SUM($B$5:B58))</f>
        <v/>
      </c>
      <c r="I58" s="6" t="n"/>
    </row>
    <row r="59">
      <c r="A59" s="22" t="n">
        <v>46355</v>
      </c>
      <c r="B59" s="23" t="n"/>
      <c r="C59" s="24" t="n"/>
      <c r="D59" s="24" t="n"/>
      <c r="E59" s="24" t="n"/>
      <c r="F59" s="25">
        <f>IF(OR(B59="",E59="",E59=0),"",B59/E59)</f>
        <v/>
      </c>
      <c r="G59" s="26">
        <f>IF(OR(C59="",C59=0,D59=""),"",D59/C59)</f>
        <v/>
      </c>
      <c r="H59" s="25">
        <f>IF(B59="","",SUM($B$5:B59))</f>
        <v/>
      </c>
      <c r="I59" s="6" t="n"/>
    </row>
    <row r="60">
      <c r="A60" s="22" t="n">
        <v>46356</v>
      </c>
      <c r="B60" s="23" t="n"/>
      <c r="C60" s="24" t="n"/>
      <c r="D60" s="24" t="n"/>
      <c r="E60" s="24" t="n"/>
      <c r="F60" s="25">
        <f>IF(OR(B60="",E60="",E60=0),"",B60/E60)</f>
        <v/>
      </c>
      <c r="G60" s="26">
        <f>IF(OR(C60="",C60=0,D60=""),"",D60/C60)</f>
        <v/>
      </c>
      <c r="H60" s="25">
        <f>IF(B60="","",SUM($B$5:B60))</f>
        <v/>
      </c>
      <c r="I60" s="6" t="n"/>
    </row>
    <row r="61">
      <c r="A61" s="22" t="n">
        <v>46357</v>
      </c>
      <c r="B61" s="23" t="n"/>
      <c r="C61" s="24" t="n"/>
      <c r="D61" s="24" t="n"/>
      <c r="E61" s="24" t="n"/>
      <c r="F61" s="25">
        <f>IF(OR(B61="",E61="",E61=0),"",B61/E61)</f>
        <v/>
      </c>
      <c r="G61" s="26">
        <f>IF(OR(C61="",C61=0,D61=""),"",D61/C61)</f>
        <v/>
      </c>
      <c r="H61" s="25">
        <f>IF(B61="","",SUM($B$5:B61))</f>
        <v/>
      </c>
      <c r="I61" s="6" t="n"/>
    </row>
    <row r="62">
      <c r="A62" s="22" t="n">
        <v>46358</v>
      </c>
      <c r="B62" s="23" t="n"/>
      <c r="C62" s="24" t="n"/>
      <c r="D62" s="24" t="n"/>
      <c r="E62" s="24" t="n"/>
      <c r="F62" s="25">
        <f>IF(OR(B62="",E62="",E62=0),"",B62/E62)</f>
        <v/>
      </c>
      <c r="G62" s="26">
        <f>IF(OR(C62="",C62=0,D62=""),"",D62/C62)</f>
        <v/>
      </c>
      <c r="H62" s="25">
        <f>IF(B62="","",SUM($B$5:B62))</f>
        <v/>
      </c>
      <c r="I62" s="6" t="n"/>
    </row>
    <row r="63">
      <c r="A63" s="22" t="n">
        <v>46359</v>
      </c>
      <c r="B63" s="23" t="n"/>
      <c r="C63" s="24" t="n"/>
      <c r="D63" s="24" t="n"/>
      <c r="E63" s="24" t="n"/>
      <c r="F63" s="25">
        <f>IF(OR(B63="",E63="",E63=0),"",B63/E63)</f>
        <v/>
      </c>
      <c r="G63" s="26">
        <f>IF(OR(C63="",C63=0,D63=""),"",D63/C63)</f>
        <v/>
      </c>
      <c r="H63" s="25">
        <f>IF(B63="","",SUM($B$5:B63))</f>
        <v/>
      </c>
      <c r="I63" s="6" t="n"/>
    </row>
    <row r="64">
      <c r="A64" s="22" t="n">
        <v>46360</v>
      </c>
      <c r="B64" s="23" t="n"/>
      <c r="C64" s="24" t="n"/>
      <c r="D64" s="24" t="n"/>
      <c r="E64" s="24" t="n"/>
      <c r="F64" s="25">
        <f>IF(OR(B64="",E64="",E64=0),"",B64/E64)</f>
        <v/>
      </c>
      <c r="G64" s="26">
        <f>IF(OR(C64="",C64=0,D64=""),"",D64/C64)</f>
        <v/>
      </c>
      <c r="H64" s="25">
        <f>IF(B64="","",SUM($B$5:B64))</f>
        <v/>
      </c>
      <c r="I64" s="6" t="n"/>
    </row>
    <row r="65">
      <c r="A65" s="22" t="n">
        <v>46361</v>
      </c>
      <c r="B65" s="23" t="n"/>
      <c r="C65" s="24" t="n"/>
      <c r="D65" s="24" t="n"/>
      <c r="E65" s="24" t="n"/>
      <c r="F65" s="25">
        <f>IF(OR(B65="",E65="",E65=0),"",B65/E65)</f>
        <v/>
      </c>
      <c r="G65" s="26">
        <f>IF(OR(C65="",C65=0,D65=""),"",D65/C65)</f>
        <v/>
      </c>
      <c r="H65" s="25">
        <f>IF(B65="","",SUM($B$5:B65))</f>
        <v/>
      </c>
      <c r="I65" s="6" t="n"/>
    </row>
    <row r="66">
      <c r="A66" s="22" t="n">
        <v>46362</v>
      </c>
      <c r="B66" s="23" t="n"/>
      <c r="C66" s="24" t="n"/>
      <c r="D66" s="24" t="n"/>
      <c r="E66" s="24" t="n"/>
      <c r="F66" s="25">
        <f>IF(OR(B66="",E66="",E66=0),"",B66/E66)</f>
        <v/>
      </c>
      <c r="G66" s="26">
        <f>IF(OR(C66="",C66=0,D66=""),"",D66/C66)</f>
        <v/>
      </c>
      <c r="H66" s="25">
        <f>IF(B66="","",SUM($B$5:B66))</f>
        <v/>
      </c>
      <c r="I66" s="6" t="n"/>
    </row>
    <row r="67">
      <c r="A67" s="22" t="n">
        <v>46363</v>
      </c>
      <c r="B67" s="23" t="n"/>
      <c r="C67" s="24" t="n"/>
      <c r="D67" s="24" t="n"/>
      <c r="E67" s="24" t="n"/>
      <c r="F67" s="25">
        <f>IF(OR(B67="",E67="",E67=0),"",B67/E67)</f>
        <v/>
      </c>
      <c r="G67" s="26">
        <f>IF(OR(C67="",C67=0,D67=""),"",D67/C67)</f>
        <v/>
      </c>
      <c r="H67" s="25">
        <f>IF(B67="","",SUM($B$5:B67))</f>
        <v/>
      </c>
      <c r="I67" s="6" t="n"/>
    </row>
    <row r="68">
      <c r="A68" s="22" t="n">
        <v>46364</v>
      </c>
      <c r="B68" s="23" t="n"/>
      <c r="C68" s="24" t="n"/>
      <c r="D68" s="24" t="n"/>
      <c r="E68" s="24" t="n"/>
      <c r="F68" s="25">
        <f>IF(OR(B68="",E68="",E68=0),"",B68/E68)</f>
        <v/>
      </c>
      <c r="G68" s="26">
        <f>IF(OR(C68="",C68=0,D68=""),"",D68/C68)</f>
        <v/>
      </c>
      <c r="H68" s="25">
        <f>IF(B68="","",SUM($B$5:B68))</f>
        <v/>
      </c>
      <c r="I68" s="6" t="n"/>
    </row>
    <row r="69">
      <c r="A69" s="22" t="n">
        <v>46365</v>
      </c>
      <c r="B69" s="23" t="n"/>
      <c r="C69" s="24" t="n"/>
      <c r="D69" s="24" t="n"/>
      <c r="E69" s="24" t="n"/>
      <c r="F69" s="25">
        <f>IF(OR(B69="",E69="",E69=0),"",B69/E69)</f>
        <v/>
      </c>
      <c r="G69" s="26">
        <f>IF(OR(C69="",C69=0,D69=""),"",D69/C69)</f>
        <v/>
      </c>
      <c r="H69" s="25">
        <f>IF(B69="","",SUM($B$5:B69))</f>
        <v/>
      </c>
      <c r="I69" s="6" t="n"/>
    </row>
    <row r="70">
      <c r="A70" s="22" t="n">
        <v>46366</v>
      </c>
      <c r="B70" s="23" t="n"/>
      <c r="C70" s="24" t="n"/>
      <c r="D70" s="24" t="n"/>
      <c r="E70" s="24" t="n"/>
      <c r="F70" s="25">
        <f>IF(OR(B70="",E70="",E70=0),"",B70/E70)</f>
        <v/>
      </c>
      <c r="G70" s="26">
        <f>IF(OR(C70="",C70=0,D70=""),"",D70/C70)</f>
        <v/>
      </c>
      <c r="H70" s="25">
        <f>IF(B70="","",SUM($B$5:B70))</f>
        <v/>
      </c>
      <c r="I70" s="6" t="n"/>
    </row>
    <row r="71">
      <c r="A71" s="22" t="n">
        <v>46367</v>
      </c>
      <c r="B71" s="23" t="n"/>
      <c r="C71" s="24" t="n"/>
      <c r="D71" s="24" t="n"/>
      <c r="E71" s="24" t="n"/>
      <c r="F71" s="25">
        <f>IF(OR(B71="",E71="",E71=0),"",B71/E71)</f>
        <v/>
      </c>
      <c r="G71" s="26">
        <f>IF(OR(C71="",C71=0,D71=""),"",D71/C71)</f>
        <v/>
      </c>
      <c r="H71" s="25">
        <f>IF(B71="","",SUM($B$5:B71))</f>
        <v/>
      </c>
      <c r="I71" s="6" t="n"/>
    </row>
    <row r="72">
      <c r="A72" s="22" t="n">
        <v>46368</v>
      </c>
      <c r="B72" s="23" t="n"/>
      <c r="C72" s="24" t="n"/>
      <c r="D72" s="24" t="n"/>
      <c r="E72" s="24" t="n"/>
      <c r="F72" s="25">
        <f>IF(OR(B72="",E72="",E72=0),"",B72/E72)</f>
        <v/>
      </c>
      <c r="G72" s="26">
        <f>IF(OR(C72="",C72=0,D72=""),"",D72/C72)</f>
        <v/>
      </c>
      <c r="H72" s="25">
        <f>IF(B72="","",SUM($B$5:B72))</f>
        <v/>
      </c>
      <c r="I72" s="6" t="n"/>
    </row>
    <row r="73">
      <c r="A73" s="22" t="n">
        <v>46369</v>
      </c>
      <c r="B73" s="23" t="n"/>
      <c r="C73" s="24" t="n"/>
      <c r="D73" s="24" t="n"/>
      <c r="E73" s="24" t="n"/>
      <c r="F73" s="25">
        <f>IF(OR(B73="",E73="",E73=0),"",B73/E73)</f>
        <v/>
      </c>
      <c r="G73" s="26">
        <f>IF(OR(C73="",C73=0,D73=""),"",D73/C73)</f>
        <v/>
      </c>
      <c r="H73" s="25">
        <f>IF(B73="","",SUM($B$5:B73))</f>
        <v/>
      </c>
      <c r="I73" s="6" t="n"/>
    </row>
    <row r="74">
      <c r="A74" s="22" t="n">
        <v>46370</v>
      </c>
      <c r="B74" s="23" t="n"/>
      <c r="C74" s="24" t="n"/>
      <c r="D74" s="24" t="n"/>
      <c r="E74" s="24" t="n"/>
      <c r="F74" s="25">
        <f>IF(OR(B74="",E74="",E74=0),"",B74/E74)</f>
        <v/>
      </c>
      <c r="G74" s="26">
        <f>IF(OR(C74="",C74=0,D74=""),"",D74/C74)</f>
        <v/>
      </c>
      <c r="H74" s="25">
        <f>IF(B74="","",SUM($B$5:B74))</f>
        <v/>
      </c>
      <c r="I74" s="6" t="n"/>
    </row>
    <row r="75">
      <c r="A75" s="22" t="n">
        <v>46371</v>
      </c>
      <c r="B75" s="23" t="n"/>
      <c r="C75" s="24" t="n"/>
      <c r="D75" s="24" t="n"/>
      <c r="E75" s="24" t="n"/>
      <c r="F75" s="25">
        <f>IF(OR(B75="",E75="",E75=0),"",B75/E75)</f>
        <v/>
      </c>
      <c r="G75" s="26">
        <f>IF(OR(C75="",C75=0,D75=""),"",D75/C75)</f>
        <v/>
      </c>
      <c r="H75" s="25">
        <f>IF(B75="","",SUM($B$5:B75))</f>
        <v/>
      </c>
      <c r="I75" s="6" t="n"/>
    </row>
    <row r="76">
      <c r="A76" s="22" t="n">
        <v>46372</v>
      </c>
      <c r="B76" s="23" t="n"/>
      <c r="C76" s="24" t="n"/>
      <c r="D76" s="24" t="n"/>
      <c r="E76" s="24" t="n"/>
      <c r="F76" s="25">
        <f>IF(OR(B76="",E76="",E76=0),"",B76/E76)</f>
        <v/>
      </c>
      <c r="G76" s="26">
        <f>IF(OR(C76="",C76=0,D76=""),"",D76/C76)</f>
        <v/>
      </c>
      <c r="H76" s="25">
        <f>IF(B76="","",SUM($B$5:B76))</f>
        <v/>
      </c>
      <c r="I76" s="6" t="n"/>
    </row>
    <row r="77">
      <c r="A77" s="22" t="n">
        <v>46373</v>
      </c>
      <c r="B77" s="23" t="n"/>
      <c r="C77" s="24" t="n"/>
      <c r="D77" s="24" t="n"/>
      <c r="E77" s="24" t="n"/>
      <c r="F77" s="25">
        <f>IF(OR(B77="",E77="",E77=0),"",B77/E77)</f>
        <v/>
      </c>
      <c r="G77" s="26">
        <f>IF(OR(C77="",C77=0,D77=""),"",D77/C77)</f>
        <v/>
      </c>
      <c r="H77" s="25">
        <f>IF(B77="","",SUM($B$5:B77))</f>
        <v/>
      </c>
      <c r="I77" s="6" t="n"/>
    </row>
    <row r="78">
      <c r="A78" s="22" t="n">
        <v>46374</v>
      </c>
      <c r="B78" s="23" t="n"/>
      <c r="C78" s="24" t="n"/>
      <c r="D78" s="24" t="n"/>
      <c r="E78" s="24" t="n"/>
      <c r="F78" s="25">
        <f>IF(OR(B78="",E78="",E78=0),"",B78/E78)</f>
        <v/>
      </c>
      <c r="G78" s="26">
        <f>IF(OR(C78="",C78=0,D78=""),"",D78/C78)</f>
        <v/>
      </c>
      <c r="H78" s="25">
        <f>IF(B78="","",SUM($B$5:B78))</f>
        <v/>
      </c>
      <c r="I78" s="6" t="n"/>
    </row>
    <row r="79">
      <c r="A79" s="22" t="n">
        <v>46375</v>
      </c>
      <c r="B79" s="23" t="n"/>
      <c r="C79" s="24" t="n"/>
      <c r="D79" s="24" t="n"/>
      <c r="E79" s="24" t="n"/>
      <c r="F79" s="25">
        <f>IF(OR(B79="",E79="",E79=0),"",B79/E79)</f>
        <v/>
      </c>
      <c r="G79" s="26">
        <f>IF(OR(C79="",C79=0,D79=""),"",D79/C79)</f>
        <v/>
      </c>
      <c r="H79" s="25">
        <f>IF(B79="","",SUM($B$5:B79))</f>
        <v/>
      </c>
      <c r="I79" s="6" t="n"/>
    </row>
    <row r="80">
      <c r="A80" s="22" t="n">
        <v>46376</v>
      </c>
      <c r="B80" s="23" t="n"/>
      <c r="C80" s="24" t="n"/>
      <c r="D80" s="24" t="n"/>
      <c r="E80" s="24" t="n"/>
      <c r="F80" s="25">
        <f>IF(OR(B80="",E80="",E80=0),"",B80/E80)</f>
        <v/>
      </c>
      <c r="G80" s="26">
        <f>IF(OR(C80="",C80=0,D80=""),"",D80/C80)</f>
        <v/>
      </c>
      <c r="H80" s="25">
        <f>IF(B80="","",SUM($B$5:B80))</f>
        <v/>
      </c>
      <c r="I80" s="6" t="n"/>
    </row>
    <row r="81">
      <c r="A81" s="22" t="n">
        <v>46377</v>
      </c>
      <c r="B81" s="23" t="n"/>
      <c r="C81" s="24" t="n"/>
      <c r="D81" s="24" t="n"/>
      <c r="E81" s="24" t="n"/>
      <c r="F81" s="25">
        <f>IF(OR(B81="",E81="",E81=0),"",B81/E81)</f>
        <v/>
      </c>
      <c r="G81" s="26">
        <f>IF(OR(C81="",C81=0,D81=""),"",D81/C81)</f>
        <v/>
      </c>
      <c r="H81" s="25">
        <f>IF(B81="","",SUM($B$5:B81))</f>
        <v/>
      </c>
      <c r="I81" s="6" t="n"/>
    </row>
    <row r="82">
      <c r="A82" s="22" t="n">
        <v>46378</v>
      </c>
      <c r="B82" s="23" t="n"/>
      <c r="C82" s="24" t="n"/>
      <c r="D82" s="24" t="n"/>
      <c r="E82" s="24" t="n"/>
      <c r="F82" s="25">
        <f>IF(OR(B82="",E82="",E82=0),"",B82/E82)</f>
        <v/>
      </c>
      <c r="G82" s="26">
        <f>IF(OR(C82="",C82=0,D82=""),"",D82/C82)</f>
        <v/>
      </c>
      <c r="H82" s="25">
        <f>IF(B82="","",SUM($B$5:B82))</f>
        <v/>
      </c>
      <c r="I82" s="6" t="n"/>
    </row>
    <row r="83">
      <c r="A83" s="22" t="n">
        <v>46379</v>
      </c>
      <c r="B83" s="23" t="n"/>
      <c r="C83" s="24" t="n"/>
      <c r="D83" s="24" t="n"/>
      <c r="E83" s="24" t="n"/>
      <c r="F83" s="25">
        <f>IF(OR(B83="",E83="",E83=0),"",B83/E83)</f>
        <v/>
      </c>
      <c r="G83" s="26">
        <f>IF(OR(C83="",C83=0,D83=""),"",D83/C83)</f>
        <v/>
      </c>
      <c r="H83" s="25">
        <f>IF(B83="","",SUM($B$5:B83))</f>
        <v/>
      </c>
      <c r="I83" s="6" t="n"/>
    </row>
    <row r="84">
      <c r="A84" s="22" t="n">
        <v>46380</v>
      </c>
      <c r="B84" s="23" t="n"/>
      <c r="C84" s="24" t="n"/>
      <c r="D84" s="24" t="n"/>
      <c r="E84" s="24" t="n"/>
      <c r="F84" s="25">
        <f>IF(OR(B84="",E84="",E84=0),"",B84/E84)</f>
        <v/>
      </c>
      <c r="G84" s="26">
        <f>IF(OR(C84="",C84=0,D84=""),"",D84/C84)</f>
        <v/>
      </c>
      <c r="H84" s="25">
        <f>IF(B84="","",SUM($B$5:B84))</f>
        <v/>
      </c>
      <c r="I84" s="6" t="n"/>
    </row>
    <row r="85">
      <c r="A85" s="22" t="n">
        <v>46381</v>
      </c>
      <c r="B85" s="23" t="n"/>
      <c r="C85" s="24" t="n"/>
      <c r="D85" s="24" t="n"/>
      <c r="E85" s="24" t="n"/>
      <c r="F85" s="25">
        <f>IF(OR(B85="",E85="",E85=0),"",B85/E85)</f>
        <v/>
      </c>
      <c r="G85" s="26">
        <f>IF(OR(C85="",C85=0,D85=""),"",D85/C85)</f>
        <v/>
      </c>
      <c r="H85" s="25">
        <f>IF(B85="","",SUM($B$5:B85))</f>
        <v/>
      </c>
      <c r="I85" s="6" t="n"/>
    </row>
    <row r="86">
      <c r="A86" s="22" t="n">
        <v>46382</v>
      </c>
      <c r="B86" s="23" t="n"/>
      <c r="C86" s="24" t="n"/>
      <c r="D86" s="24" t="n"/>
      <c r="E86" s="24" t="n"/>
      <c r="F86" s="25">
        <f>IF(OR(B86="",E86="",E86=0),"",B86/E86)</f>
        <v/>
      </c>
      <c r="G86" s="26">
        <f>IF(OR(C86="",C86=0,D86=""),"",D86/C86)</f>
        <v/>
      </c>
      <c r="H86" s="25">
        <f>IF(B86="","",SUM($B$5:B86))</f>
        <v/>
      </c>
      <c r="I86" s="6" t="n"/>
    </row>
    <row r="87">
      <c r="A87" s="22" t="n">
        <v>46383</v>
      </c>
      <c r="B87" s="23" t="n"/>
      <c r="C87" s="24" t="n"/>
      <c r="D87" s="24" t="n"/>
      <c r="E87" s="24" t="n"/>
      <c r="F87" s="25">
        <f>IF(OR(B87="",E87="",E87=0),"",B87/E87)</f>
        <v/>
      </c>
      <c r="G87" s="26">
        <f>IF(OR(C87="",C87=0,D87=""),"",D87/C87)</f>
        <v/>
      </c>
      <c r="H87" s="25">
        <f>IF(B87="","",SUM($B$5:B87))</f>
        <v/>
      </c>
      <c r="I87" s="6" t="n"/>
    </row>
    <row r="88">
      <c r="A88" s="22" t="n">
        <v>46384</v>
      </c>
      <c r="B88" s="23" t="n"/>
      <c r="C88" s="24" t="n"/>
      <c r="D88" s="24" t="n"/>
      <c r="E88" s="24" t="n"/>
      <c r="F88" s="25">
        <f>IF(OR(B88="",E88="",E88=0),"",B88/E88)</f>
        <v/>
      </c>
      <c r="G88" s="26">
        <f>IF(OR(C88="",C88=0,D88=""),"",D88/C88)</f>
        <v/>
      </c>
      <c r="H88" s="25">
        <f>IF(B88="","",SUM($B$5:B88))</f>
        <v/>
      </c>
      <c r="I88" s="6" t="n"/>
    </row>
    <row r="89">
      <c r="A89" s="22" t="n">
        <v>46385</v>
      </c>
      <c r="B89" s="23" t="n"/>
      <c r="C89" s="24" t="n"/>
      <c r="D89" s="24" t="n"/>
      <c r="E89" s="24" t="n"/>
      <c r="F89" s="25">
        <f>IF(OR(B89="",E89="",E89=0),"",B89/E89)</f>
        <v/>
      </c>
      <c r="G89" s="26">
        <f>IF(OR(C89="",C89=0,D89=""),"",D89/C89)</f>
        <v/>
      </c>
      <c r="H89" s="25">
        <f>IF(B89="","",SUM($B$5:B89))</f>
        <v/>
      </c>
      <c r="I89" s="6" t="n"/>
    </row>
    <row r="90">
      <c r="A90" s="22" t="n">
        <v>46386</v>
      </c>
      <c r="B90" s="23" t="n"/>
      <c r="C90" s="24" t="n"/>
      <c r="D90" s="24" t="n"/>
      <c r="E90" s="24" t="n"/>
      <c r="F90" s="25">
        <f>IF(OR(B90="",E90="",E90=0),"",B90/E90)</f>
        <v/>
      </c>
      <c r="G90" s="26">
        <f>IF(OR(C90="",C90=0,D90=""),"",D90/C90)</f>
        <v/>
      </c>
      <c r="H90" s="25">
        <f>IF(B90="","",SUM($B$5:B90))</f>
        <v/>
      </c>
      <c r="I90" s="6" t="n"/>
    </row>
    <row r="91">
      <c r="A91" s="22" t="n">
        <v>46387</v>
      </c>
      <c r="B91" s="23" t="n"/>
      <c r="C91" s="24" t="n"/>
      <c r="D91" s="24" t="n"/>
      <c r="E91" s="24" t="n"/>
      <c r="F91" s="25">
        <f>IF(OR(B91="",E91="",E91=0),"",B91/E91)</f>
        <v/>
      </c>
      <c r="G91" s="26">
        <f>IF(OR(C91="",C91=0,D91=""),"",D91/C91)</f>
        <v/>
      </c>
      <c r="H91" s="25">
        <f>IF(B91="","",SUM($B$5:B91))</f>
        <v/>
      </c>
      <c r="I91" s="6" t="n"/>
    </row>
    <row r="92">
      <c r="A92" s="27" t="inlineStr">
        <is>
          <t>TOTAL</t>
        </is>
      </c>
      <c r="B92" s="28">
        <f>SUM(B5:B91)</f>
        <v/>
      </c>
      <c r="C92" s="29">
        <f>SUM(C5:C91)</f>
        <v/>
      </c>
      <c r="D92" s="29">
        <f>SUM(D5:D91)</f>
        <v/>
      </c>
      <c r="E92" s="29">
        <f>SUM(E5:E91)</f>
        <v/>
      </c>
      <c r="F92" s="28">
        <f>IFERROR(B92/E92,"")</f>
        <v/>
      </c>
      <c r="G92" s="30">
        <f>IFERROR(D92/C92,"")</f>
        <v/>
      </c>
      <c r="H92" s="27" t="n"/>
      <c r="I92" s="27" t="n"/>
    </row>
  </sheetData>
  <conditionalFormatting sqref="F5:F91">
    <cfRule type="expression" priority="1" dxfId="1">
      <formula>AND(F5&lt;&gt;"",F5&lt;3)</formula>
    </cfRule>
    <cfRule type="expression" priority="2" dxfId="2">
      <formula>AND(F5&lt;&gt;"",F5&gt;=3,F5&lt;=8)</formula>
    </cfRule>
    <cfRule type="expression" priority="3" dxfId="0">
      <formula>AND(F5&lt;&gt;"",F5&gt;8)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6" customWidth="1" min="4" max="4"/>
    <col width="16" customWidth="1" min="5" max="5"/>
    <col width="14" customWidth="1" min="6" max="6"/>
    <col width="13" customWidth="1" min="7" max="7"/>
    <col width="13" customWidth="1" min="8" max="8"/>
    <col width="15" customWidth="1" min="9" max="9"/>
    <col width="40" customWidth="1" min="10" max="10"/>
  </cols>
  <sheetData>
    <row r="1">
      <c r="A1" s="1" t="inlineStr">
        <is>
          <t>Leads &amp; clients</t>
        </is>
      </c>
    </row>
    <row r="2">
      <c r="A2" s="2" t="inlineStr">
        <is>
          <t>One row per person who messages you. Pick a Status from the dropdown. Row 5 is an example - overwrite or delete it.</t>
        </is>
      </c>
    </row>
    <row r="4" ht="32" customHeight="1">
      <c r="A4" s="3" t="inlineStr">
        <is>
          <t>Date</t>
        </is>
      </c>
      <c r="B4" s="3" t="inlineStr">
        <is>
          <t>Name</t>
        </is>
      </c>
      <c r="C4" s="3" t="inlineStr">
        <is>
          <t>Business</t>
        </is>
      </c>
      <c r="D4" s="3" t="inlineStr">
        <is>
          <t>Industry</t>
        </is>
      </c>
      <c r="E4" s="3" t="inlineStr">
        <is>
          <t>Came from</t>
        </is>
      </c>
      <c r="F4" s="3" t="inlineStr">
        <is>
          <t>Status</t>
        </is>
      </c>
      <c r="G4" s="3" t="inlineStr">
        <is>
          <t>Quote (TT$)</t>
        </is>
      </c>
      <c r="H4" s="3" t="inlineStr">
        <is>
          <t>Paid (TT$)</t>
        </is>
      </c>
      <c r="I4" s="3" t="inlineStr">
        <is>
          <t>Next follow-up</t>
        </is>
      </c>
      <c r="J4" s="3" t="inlineStr">
        <is>
          <t>Notes</t>
        </is>
      </c>
    </row>
    <row r="5">
      <c r="A5" s="31" t="n">
        <v>46301</v>
      </c>
      <c r="B5" s="32" t="inlineStr">
        <is>
          <t>Kez T.</t>
        </is>
      </c>
      <c r="C5" s="32" t="inlineStr">
        <is>
          <t>Kez Boutique</t>
        </is>
      </c>
      <c r="D5" s="32" t="inlineStr">
        <is>
          <t>Boutique</t>
        </is>
      </c>
      <c r="E5" s="32" t="inlineStr">
        <is>
          <t>Meta ad - WhatsApp</t>
        </is>
      </c>
      <c r="F5" s="32" t="inlineStr">
        <is>
          <t>Example</t>
        </is>
      </c>
      <c r="G5" s="33" t="n">
        <v>1500</v>
      </c>
      <c r="H5" s="33" t="n"/>
      <c r="I5" s="31" t="n">
        <v>46303</v>
      </c>
      <c r="J5" s="32" t="inlineStr">
        <is>
          <t>EXAMPLE ROW - asked about online store; mockup due Thu</t>
        </is>
      </c>
    </row>
    <row r="6">
      <c r="A6" s="34" t="n"/>
      <c r="B6" s="35" t="n"/>
      <c r="C6" s="35" t="n"/>
      <c r="D6" s="35" t="n"/>
      <c r="E6" s="35" t="n"/>
      <c r="F6" s="35" t="n"/>
      <c r="G6" s="36" t="n"/>
      <c r="H6" s="36" t="n"/>
      <c r="I6" s="34" t="n"/>
      <c r="J6" s="35" t="n"/>
    </row>
    <row r="7">
      <c r="A7" s="34" t="n"/>
      <c r="B7" s="35" t="n"/>
      <c r="C7" s="35" t="n"/>
      <c r="D7" s="35" t="n"/>
      <c r="E7" s="35" t="n"/>
      <c r="F7" s="35" t="n"/>
      <c r="G7" s="36" t="n"/>
      <c r="H7" s="36" t="n"/>
      <c r="I7" s="34" t="n"/>
      <c r="J7" s="35" t="n"/>
    </row>
    <row r="8">
      <c r="A8" s="34" t="n"/>
      <c r="B8" s="35" t="n"/>
      <c r="C8" s="35" t="n"/>
      <c r="D8" s="35" t="n"/>
      <c r="E8" s="35" t="n"/>
      <c r="F8" s="35" t="n"/>
      <c r="G8" s="36" t="n"/>
      <c r="H8" s="36" t="n"/>
      <c r="I8" s="34" t="n"/>
      <c r="J8" s="35" t="n"/>
    </row>
    <row r="9">
      <c r="A9" s="34" t="n"/>
      <c r="B9" s="35" t="n"/>
      <c r="C9" s="35" t="n"/>
      <c r="D9" s="35" t="n"/>
      <c r="E9" s="35" t="n"/>
      <c r="F9" s="35" t="n"/>
      <c r="G9" s="36" t="n"/>
      <c r="H9" s="36" t="n"/>
      <c r="I9" s="34" t="n"/>
      <c r="J9" s="35" t="n"/>
    </row>
    <row r="10">
      <c r="A10" s="34" t="n"/>
      <c r="B10" s="35" t="n"/>
      <c r="C10" s="35" t="n"/>
      <c r="D10" s="35" t="n"/>
      <c r="E10" s="35" t="n"/>
      <c r="F10" s="35" t="n"/>
      <c r="G10" s="36" t="n"/>
      <c r="H10" s="36" t="n"/>
      <c r="I10" s="34" t="n"/>
      <c r="J10" s="35" t="n"/>
    </row>
    <row r="11">
      <c r="A11" s="34" t="n"/>
      <c r="B11" s="35" t="n"/>
      <c r="C11" s="35" t="n"/>
      <c r="D11" s="35" t="n"/>
      <c r="E11" s="35" t="n"/>
      <c r="F11" s="35" t="n"/>
      <c r="G11" s="36" t="n"/>
      <c r="H11" s="36" t="n"/>
      <c r="I11" s="34" t="n"/>
      <c r="J11" s="35" t="n"/>
    </row>
    <row r="12">
      <c r="A12" s="34" t="n"/>
      <c r="B12" s="35" t="n"/>
      <c r="C12" s="35" t="n"/>
      <c r="D12" s="35" t="n"/>
      <c r="E12" s="35" t="n"/>
      <c r="F12" s="35" t="n"/>
      <c r="G12" s="36" t="n"/>
      <c r="H12" s="36" t="n"/>
      <c r="I12" s="34" t="n"/>
      <c r="J12" s="35" t="n"/>
    </row>
    <row r="13">
      <c r="A13" s="34" t="n"/>
      <c r="B13" s="35" t="n"/>
      <c r="C13" s="35" t="n"/>
      <c r="D13" s="35" t="n"/>
      <c r="E13" s="35" t="n"/>
      <c r="F13" s="35" t="n"/>
      <c r="G13" s="36" t="n"/>
      <c r="H13" s="36" t="n"/>
      <c r="I13" s="34" t="n"/>
      <c r="J13" s="35" t="n"/>
    </row>
    <row r="14">
      <c r="A14" s="34" t="n"/>
      <c r="B14" s="35" t="n"/>
      <c r="C14" s="35" t="n"/>
      <c r="D14" s="35" t="n"/>
      <c r="E14" s="35" t="n"/>
      <c r="F14" s="35" t="n"/>
      <c r="G14" s="36" t="n"/>
      <c r="H14" s="36" t="n"/>
      <c r="I14" s="34" t="n"/>
      <c r="J14" s="35" t="n"/>
    </row>
    <row r="15">
      <c r="A15" s="34" t="n"/>
      <c r="B15" s="35" t="n"/>
      <c r="C15" s="35" t="n"/>
      <c r="D15" s="35" t="n"/>
      <c r="E15" s="35" t="n"/>
      <c r="F15" s="35" t="n"/>
      <c r="G15" s="36" t="n"/>
      <c r="H15" s="36" t="n"/>
      <c r="I15" s="34" t="n"/>
      <c r="J15" s="35" t="n"/>
    </row>
    <row r="16">
      <c r="A16" s="34" t="n"/>
      <c r="B16" s="35" t="n"/>
      <c r="C16" s="35" t="n"/>
      <c r="D16" s="35" t="n"/>
      <c r="E16" s="35" t="n"/>
      <c r="F16" s="35" t="n"/>
      <c r="G16" s="36" t="n"/>
      <c r="H16" s="36" t="n"/>
      <c r="I16" s="34" t="n"/>
      <c r="J16" s="35" t="n"/>
    </row>
    <row r="17">
      <c r="A17" s="34" t="n"/>
      <c r="B17" s="35" t="n"/>
      <c r="C17" s="35" t="n"/>
      <c r="D17" s="35" t="n"/>
      <c r="E17" s="35" t="n"/>
      <c r="F17" s="35" t="n"/>
      <c r="G17" s="36" t="n"/>
      <c r="H17" s="36" t="n"/>
      <c r="I17" s="34" t="n"/>
      <c r="J17" s="35" t="n"/>
    </row>
    <row r="18">
      <c r="A18" s="34" t="n"/>
      <c r="B18" s="35" t="n"/>
      <c r="C18" s="35" t="n"/>
      <c r="D18" s="35" t="n"/>
      <c r="E18" s="35" t="n"/>
      <c r="F18" s="35" t="n"/>
      <c r="G18" s="36" t="n"/>
      <c r="H18" s="36" t="n"/>
      <c r="I18" s="34" t="n"/>
      <c r="J18" s="35" t="n"/>
    </row>
    <row r="19">
      <c r="A19" s="34" t="n"/>
      <c r="B19" s="35" t="n"/>
      <c r="C19" s="35" t="n"/>
      <c r="D19" s="35" t="n"/>
      <c r="E19" s="35" t="n"/>
      <c r="F19" s="35" t="n"/>
      <c r="G19" s="36" t="n"/>
      <c r="H19" s="36" t="n"/>
      <c r="I19" s="34" t="n"/>
      <c r="J19" s="35" t="n"/>
    </row>
    <row r="20">
      <c r="A20" s="34" t="n"/>
      <c r="B20" s="35" t="n"/>
      <c r="C20" s="35" t="n"/>
      <c r="D20" s="35" t="n"/>
      <c r="E20" s="35" t="n"/>
      <c r="F20" s="35" t="n"/>
      <c r="G20" s="36" t="n"/>
      <c r="H20" s="36" t="n"/>
      <c r="I20" s="34" t="n"/>
      <c r="J20" s="35" t="n"/>
    </row>
    <row r="21">
      <c r="A21" s="34" t="n"/>
      <c r="B21" s="35" t="n"/>
      <c r="C21" s="35" t="n"/>
      <c r="D21" s="35" t="n"/>
      <c r="E21" s="35" t="n"/>
      <c r="F21" s="35" t="n"/>
      <c r="G21" s="36" t="n"/>
      <c r="H21" s="36" t="n"/>
      <c r="I21" s="34" t="n"/>
      <c r="J21" s="35" t="n"/>
    </row>
    <row r="22">
      <c r="A22" s="34" t="n"/>
      <c r="B22" s="35" t="n"/>
      <c r="C22" s="35" t="n"/>
      <c r="D22" s="35" t="n"/>
      <c r="E22" s="35" t="n"/>
      <c r="F22" s="35" t="n"/>
      <c r="G22" s="36" t="n"/>
      <c r="H22" s="36" t="n"/>
      <c r="I22" s="34" t="n"/>
      <c r="J22" s="35" t="n"/>
    </row>
    <row r="23">
      <c r="A23" s="34" t="n"/>
      <c r="B23" s="35" t="n"/>
      <c r="C23" s="35" t="n"/>
      <c r="D23" s="35" t="n"/>
      <c r="E23" s="35" t="n"/>
      <c r="F23" s="35" t="n"/>
      <c r="G23" s="36" t="n"/>
      <c r="H23" s="36" t="n"/>
      <c r="I23" s="34" t="n"/>
      <c r="J23" s="35" t="n"/>
    </row>
    <row r="24">
      <c r="A24" s="34" t="n"/>
      <c r="B24" s="35" t="n"/>
      <c r="C24" s="35" t="n"/>
      <c r="D24" s="35" t="n"/>
      <c r="E24" s="35" t="n"/>
      <c r="F24" s="35" t="n"/>
      <c r="G24" s="36" t="n"/>
      <c r="H24" s="36" t="n"/>
      <c r="I24" s="34" t="n"/>
      <c r="J24" s="35" t="n"/>
    </row>
    <row r="25">
      <c r="A25" s="34" t="n"/>
      <c r="B25" s="35" t="n"/>
      <c r="C25" s="35" t="n"/>
      <c r="D25" s="35" t="n"/>
      <c r="E25" s="35" t="n"/>
      <c r="F25" s="35" t="n"/>
      <c r="G25" s="36" t="n"/>
      <c r="H25" s="36" t="n"/>
      <c r="I25" s="34" t="n"/>
      <c r="J25" s="35" t="n"/>
    </row>
    <row r="26">
      <c r="A26" s="34" t="n"/>
      <c r="B26" s="35" t="n"/>
      <c r="C26" s="35" t="n"/>
      <c r="D26" s="35" t="n"/>
      <c r="E26" s="35" t="n"/>
      <c r="F26" s="35" t="n"/>
      <c r="G26" s="36" t="n"/>
      <c r="H26" s="36" t="n"/>
      <c r="I26" s="34" t="n"/>
      <c r="J26" s="35" t="n"/>
    </row>
    <row r="27">
      <c r="A27" s="34" t="n"/>
      <c r="B27" s="35" t="n"/>
      <c r="C27" s="35" t="n"/>
      <c r="D27" s="35" t="n"/>
      <c r="E27" s="35" t="n"/>
      <c r="F27" s="35" t="n"/>
      <c r="G27" s="36" t="n"/>
      <c r="H27" s="36" t="n"/>
      <c r="I27" s="34" t="n"/>
      <c r="J27" s="35" t="n"/>
    </row>
    <row r="28">
      <c r="A28" s="34" t="n"/>
      <c r="B28" s="35" t="n"/>
      <c r="C28" s="35" t="n"/>
      <c r="D28" s="35" t="n"/>
      <c r="E28" s="35" t="n"/>
      <c r="F28" s="35" t="n"/>
      <c r="G28" s="36" t="n"/>
      <c r="H28" s="36" t="n"/>
      <c r="I28" s="34" t="n"/>
      <c r="J28" s="35" t="n"/>
    </row>
    <row r="29">
      <c r="A29" s="34" t="n"/>
      <c r="B29" s="35" t="n"/>
      <c r="C29" s="35" t="n"/>
      <c r="D29" s="35" t="n"/>
      <c r="E29" s="35" t="n"/>
      <c r="F29" s="35" t="n"/>
      <c r="G29" s="36" t="n"/>
      <c r="H29" s="36" t="n"/>
      <c r="I29" s="34" t="n"/>
      <c r="J29" s="35" t="n"/>
    </row>
    <row r="30">
      <c r="A30" s="34" t="n"/>
      <c r="B30" s="35" t="n"/>
      <c r="C30" s="35" t="n"/>
      <c r="D30" s="35" t="n"/>
      <c r="E30" s="35" t="n"/>
      <c r="F30" s="35" t="n"/>
      <c r="G30" s="36" t="n"/>
      <c r="H30" s="36" t="n"/>
      <c r="I30" s="34" t="n"/>
      <c r="J30" s="35" t="n"/>
    </row>
    <row r="31">
      <c r="A31" s="34" t="n"/>
      <c r="B31" s="35" t="n"/>
      <c r="C31" s="35" t="n"/>
      <c r="D31" s="35" t="n"/>
      <c r="E31" s="35" t="n"/>
      <c r="F31" s="35" t="n"/>
      <c r="G31" s="36" t="n"/>
      <c r="H31" s="36" t="n"/>
      <c r="I31" s="34" t="n"/>
      <c r="J31" s="35" t="n"/>
    </row>
    <row r="32">
      <c r="A32" s="34" t="n"/>
      <c r="B32" s="35" t="n"/>
      <c r="C32" s="35" t="n"/>
      <c r="D32" s="35" t="n"/>
      <c r="E32" s="35" t="n"/>
      <c r="F32" s="35" t="n"/>
      <c r="G32" s="36" t="n"/>
      <c r="H32" s="36" t="n"/>
      <c r="I32" s="34" t="n"/>
      <c r="J32" s="35" t="n"/>
    </row>
    <row r="33">
      <c r="A33" s="34" t="n"/>
      <c r="B33" s="35" t="n"/>
      <c r="C33" s="35" t="n"/>
      <c r="D33" s="35" t="n"/>
      <c r="E33" s="35" t="n"/>
      <c r="F33" s="35" t="n"/>
      <c r="G33" s="36" t="n"/>
      <c r="H33" s="36" t="n"/>
      <c r="I33" s="34" t="n"/>
      <c r="J33" s="35" t="n"/>
    </row>
    <row r="34">
      <c r="A34" s="34" t="n"/>
      <c r="B34" s="35" t="n"/>
      <c r="C34" s="35" t="n"/>
      <c r="D34" s="35" t="n"/>
      <c r="E34" s="35" t="n"/>
      <c r="F34" s="35" t="n"/>
      <c r="G34" s="36" t="n"/>
      <c r="H34" s="36" t="n"/>
      <c r="I34" s="34" t="n"/>
      <c r="J34" s="35" t="n"/>
    </row>
    <row r="35">
      <c r="A35" s="34" t="n"/>
      <c r="B35" s="35" t="n"/>
      <c r="C35" s="35" t="n"/>
      <c r="D35" s="35" t="n"/>
      <c r="E35" s="35" t="n"/>
      <c r="F35" s="35" t="n"/>
      <c r="G35" s="36" t="n"/>
      <c r="H35" s="36" t="n"/>
      <c r="I35" s="34" t="n"/>
      <c r="J35" s="35" t="n"/>
    </row>
    <row r="36">
      <c r="A36" s="34" t="n"/>
      <c r="B36" s="35" t="n"/>
      <c r="C36" s="35" t="n"/>
      <c r="D36" s="35" t="n"/>
      <c r="E36" s="35" t="n"/>
      <c r="F36" s="35" t="n"/>
      <c r="G36" s="36" t="n"/>
      <c r="H36" s="36" t="n"/>
      <c r="I36" s="34" t="n"/>
      <c r="J36" s="35" t="n"/>
    </row>
    <row r="37">
      <c r="A37" s="34" t="n"/>
      <c r="B37" s="35" t="n"/>
      <c r="C37" s="35" t="n"/>
      <c r="D37" s="35" t="n"/>
      <c r="E37" s="35" t="n"/>
      <c r="F37" s="35" t="n"/>
      <c r="G37" s="36" t="n"/>
      <c r="H37" s="36" t="n"/>
      <c r="I37" s="34" t="n"/>
      <c r="J37" s="35" t="n"/>
    </row>
    <row r="38">
      <c r="A38" s="34" t="n"/>
      <c r="B38" s="35" t="n"/>
      <c r="C38" s="35" t="n"/>
      <c r="D38" s="35" t="n"/>
      <c r="E38" s="35" t="n"/>
      <c r="F38" s="35" t="n"/>
      <c r="G38" s="36" t="n"/>
      <c r="H38" s="36" t="n"/>
      <c r="I38" s="34" t="n"/>
      <c r="J38" s="35" t="n"/>
    </row>
    <row r="39">
      <c r="A39" s="34" t="n"/>
      <c r="B39" s="35" t="n"/>
      <c r="C39" s="35" t="n"/>
      <c r="D39" s="35" t="n"/>
      <c r="E39" s="35" t="n"/>
      <c r="F39" s="35" t="n"/>
      <c r="G39" s="36" t="n"/>
      <c r="H39" s="36" t="n"/>
      <c r="I39" s="34" t="n"/>
      <c r="J39" s="35" t="n"/>
    </row>
    <row r="40">
      <c r="A40" s="34" t="n"/>
      <c r="B40" s="35" t="n"/>
      <c r="C40" s="35" t="n"/>
      <c r="D40" s="35" t="n"/>
      <c r="E40" s="35" t="n"/>
      <c r="F40" s="35" t="n"/>
      <c r="G40" s="36" t="n"/>
      <c r="H40" s="36" t="n"/>
      <c r="I40" s="34" t="n"/>
      <c r="J40" s="35" t="n"/>
    </row>
    <row r="41">
      <c r="A41" s="34" t="n"/>
      <c r="B41" s="35" t="n"/>
      <c r="C41" s="35" t="n"/>
      <c r="D41" s="35" t="n"/>
      <c r="E41" s="35" t="n"/>
      <c r="F41" s="35" t="n"/>
      <c r="G41" s="36" t="n"/>
      <c r="H41" s="36" t="n"/>
      <c r="I41" s="34" t="n"/>
      <c r="J41" s="35" t="n"/>
    </row>
    <row r="42">
      <c r="A42" s="34" t="n"/>
      <c r="B42" s="35" t="n"/>
      <c r="C42" s="35" t="n"/>
      <c r="D42" s="35" t="n"/>
      <c r="E42" s="35" t="n"/>
      <c r="F42" s="35" t="n"/>
      <c r="G42" s="36" t="n"/>
      <c r="H42" s="36" t="n"/>
      <c r="I42" s="34" t="n"/>
      <c r="J42" s="35" t="n"/>
    </row>
    <row r="43">
      <c r="A43" s="34" t="n"/>
      <c r="B43" s="35" t="n"/>
      <c r="C43" s="35" t="n"/>
      <c r="D43" s="35" t="n"/>
      <c r="E43" s="35" t="n"/>
      <c r="F43" s="35" t="n"/>
      <c r="G43" s="36" t="n"/>
      <c r="H43" s="36" t="n"/>
      <c r="I43" s="34" t="n"/>
      <c r="J43" s="35" t="n"/>
    </row>
    <row r="44">
      <c r="A44" s="34" t="n"/>
      <c r="B44" s="35" t="n"/>
      <c r="C44" s="35" t="n"/>
      <c r="D44" s="35" t="n"/>
      <c r="E44" s="35" t="n"/>
      <c r="F44" s="35" t="n"/>
      <c r="G44" s="36" t="n"/>
      <c r="H44" s="36" t="n"/>
      <c r="I44" s="34" t="n"/>
      <c r="J44" s="35" t="n"/>
    </row>
    <row r="45">
      <c r="A45" s="34" t="n"/>
      <c r="B45" s="35" t="n"/>
      <c r="C45" s="35" t="n"/>
      <c r="D45" s="35" t="n"/>
      <c r="E45" s="35" t="n"/>
      <c r="F45" s="35" t="n"/>
      <c r="G45" s="36" t="n"/>
      <c r="H45" s="36" t="n"/>
      <c r="I45" s="34" t="n"/>
      <c r="J45" s="35" t="n"/>
    </row>
    <row r="46">
      <c r="A46" s="34" t="n"/>
      <c r="B46" s="35" t="n"/>
      <c r="C46" s="35" t="n"/>
      <c r="D46" s="35" t="n"/>
      <c r="E46" s="35" t="n"/>
      <c r="F46" s="35" t="n"/>
      <c r="G46" s="36" t="n"/>
      <c r="H46" s="36" t="n"/>
      <c r="I46" s="34" t="n"/>
      <c r="J46" s="35" t="n"/>
    </row>
    <row r="47">
      <c r="A47" s="34" t="n"/>
      <c r="B47" s="35" t="n"/>
      <c r="C47" s="35" t="n"/>
      <c r="D47" s="35" t="n"/>
      <c r="E47" s="35" t="n"/>
      <c r="F47" s="35" t="n"/>
      <c r="G47" s="36" t="n"/>
      <c r="H47" s="36" t="n"/>
      <c r="I47" s="34" t="n"/>
      <c r="J47" s="35" t="n"/>
    </row>
    <row r="48">
      <c r="A48" s="34" t="n"/>
      <c r="B48" s="35" t="n"/>
      <c r="C48" s="35" t="n"/>
      <c r="D48" s="35" t="n"/>
      <c r="E48" s="35" t="n"/>
      <c r="F48" s="35" t="n"/>
      <c r="G48" s="36" t="n"/>
      <c r="H48" s="36" t="n"/>
      <c r="I48" s="34" t="n"/>
      <c r="J48" s="35" t="n"/>
    </row>
    <row r="49">
      <c r="A49" s="34" t="n"/>
      <c r="B49" s="35" t="n"/>
      <c r="C49" s="35" t="n"/>
      <c r="D49" s="35" t="n"/>
      <c r="E49" s="35" t="n"/>
      <c r="F49" s="35" t="n"/>
      <c r="G49" s="36" t="n"/>
      <c r="H49" s="36" t="n"/>
      <c r="I49" s="34" t="n"/>
      <c r="J49" s="35" t="n"/>
    </row>
    <row r="50">
      <c r="A50" s="34" t="n"/>
      <c r="B50" s="35" t="n"/>
      <c r="C50" s="35" t="n"/>
      <c r="D50" s="35" t="n"/>
      <c r="E50" s="35" t="n"/>
      <c r="F50" s="35" t="n"/>
      <c r="G50" s="36" t="n"/>
      <c r="H50" s="36" t="n"/>
      <c r="I50" s="34" t="n"/>
      <c r="J50" s="35" t="n"/>
    </row>
    <row r="51">
      <c r="A51" s="34" t="n"/>
      <c r="B51" s="35" t="n"/>
      <c r="C51" s="35" t="n"/>
      <c r="D51" s="35" t="n"/>
      <c r="E51" s="35" t="n"/>
      <c r="F51" s="35" t="n"/>
      <c r="G51" s="36" t="n"/>
      <c r="H51" s="36" t="n"/>
      <c r="I51" s="34" t="n"/>
      <c r="J51" s="35" t="n"/>
    </row>
    <row r="52">
      <c r="A52" s="34" t="n"/>
      <c r="B52" s="35" t="n"/>
      <c r="C52" s="35" t="n"/>
      <c r="D52" s="35" t="n"/>
      <c r="E52" s="35" t="n"/>
      <c r="F52" s="35" t="n"/>
      <c r="G52" s="36" t="n"/>
      <c r="H52" s="36" t="n"/>
      <c r="I52" s="34" t="n"/>
      <c r="J52" s="35" t="n"/>
    </row>
    <row r="53">
      <c r="A53" s="34" t="n"/>
      <c r="B53" s="35" t="n"/>
      <c r="C53" s="35" t="n"/>
      <c r="D53" s="35" t="n"/>
      <c r="E53" s="35" t="n"/>
      <c r="F53" s="35" t="n"/>
      <c r="G53" s="36" t="n"/>
      <c r="H53" s="36" t="n"/>
      <c r="I53" s="34" t="n"/>
      <c r="J53" s="35" t="n"/>
    </row>
    <row r="54">
      <c r="A54" s="34" t="n"/>
      <c r="B54" s="35" t="n"/>
      <c r="C54" s="35" t="n"/>
      <c r="D54" s="35" t="n"/>
      <c r="E54" s="35" t="n"/>
      <c r="F54" s="35" t="n"/>
      <c r="G54" s="36" t="n"/>
      <c r="H54" s="36" t="n"/>
      <c r="I54" s="34" t="n"/>
      <c r="J54" s="35" t="n"/>
    </row>
    <row r="55">
      <c r="A55" s="34" t="n"/>
      <c r="B55" s="35" t="n"/>
      <c r="C55" s="35" t="n"/>
      <c r="D55" s="35" t="n"/>
      <c r="E55" s="35" t="n"/>
      <c r="F55" s="35" t="n"/>
      <c r="G55" s="36" t="n"/>
      <c r="H55" s="36" t="n"/>
      <c r="I55" s="34" t="n"/>
      <c r="J55" s="35" t="n"/>
    </row>
    <row r="56">
      <c r="A56" s="34" t="n"/>
      <c r="B56" s="35" t="n"/>
      <c r="C56" s="35" t="n"/>
      <c r="D56" s="35" t="n"/>
      <c r="E56" s="35" t="n"/>
      <c r="F56" s="35" t="n"/>
      <c r="G56" s="36" t="n"/>
      <c r="H56" s="36" t="n"/>
      <c r="I56" s="34" t="n"/>
      <c r="J56" s="35" t="n"/>
    </row>
    <row r="57">
      <c r="A57" s="34" t="n"/>
      <c r="B57" s="35" t="n"/>
      <c r="C57" s="35" t="n"/>
      <c r="D57" s="35" t="n"/>
      <c r="E57" s="35" t="n"/>
      <c r="F57" s="35" t="n"/>
      <c r="G57" s="36" t="n"/>
      <c r="H57" s="36" t="n"/>
      <c r="I57" s="34" t="n"/>
      <c r="J57" s="35" t="n"/>
    </row>
    <row r="58">
      <c r="A58" s="34" t="n"/>
      <c r="B58" s="35" t="n"/>
      <c r="C58" s="35" t="n"/>
      <c r="D58" s="35" t="n"/>
      <c r="E58" s="35" t="n"/>
      <c r="F58" s="35" t="n"/>
      <c r="G58" s="36" t="n"/>
      <c r="H58" s="36" t="n"/>
      <c r="I58" s="34" t="n"/>
      <c r="J58" s="35" t="n"/>
    </row>
    <row r="59">
      <c r="A59" s="34" t="n"/>
      <c r="B59" s="35" t="n"/>
      <c r="C59" s="35" t="n"/>
      <c r="D59" s="35" t="n"/>
      <c r="E59" s="35" t="n"/>
      <c r="F59" s="35" t="n"/>
      <c r="G59" s="36" t="n"/>
      <c r="H59" s="36" t="n"/>
      <c r="I59" s="34" t="n"/>
      <c r="J59" s="35" t="n"/>
    </row>
    <row r="60">
      <c r="A60" s="34" t="n"/>
      <c r="B60" s="35" t="n"/>
      <c r="C60" s="35" t="n"/>
      <c r="D60" s="35" t="n"/>
      <c r="E60" s="35" t="n"/>
      <c r="F60" s="35" t="n"/>
      <c r="G60" s="36" t="n"/>
      <c r="H60" s="36" t="n"/>
      <c r="I60" s="34" t="n"/>
      <c r="J60" s="35" t="n"/>
    </row>
    <row r="61">
      <c r="A61" s="34" t="n"/>
      <c r="B61" s="35" t="n"/>
      <c r="C61" s="35" t="n"/>
      <c r="D61" s="35" t="n"/>
      <c r="E61" s="35" t="n"/>
      <c r="F61" s="35" t="n"/>
      <c r="G61" s="36" t="n"/>
      <c r="H61" s="36" t="n"/>
      <c r="I61" s="34" t="n"/>
      <c r="J61" s="35" t="n"/>
    </row>
    <row r="62">
      <c r="A62" s="34" t="n"/>
      <c r="B62" s="35" t="n"/>
      <c r="C62" s="35" t="n"/>
      <c r="D62" s="35" t="n"/>
      <c r="E62" s="35" t="n"/>
      <c r="F62" s="35" t="n"/>
      <c r="G62" s="36" t="n"/>
      <c r="H62" s="36" t="n"/>
      <c r="I62" s="34" t="n"/>
      <c r="J62" s="35" t="n"/>
    </row>
    <row r="63">
      <c r="A63" s="34" t="n"/>
      <c r="B63" s="35" t="n"/>
      <c r="C63" s="35" t="n"/>
      <c r="D63" s="35" t="n"/>
      <c r="E63" s="35" t="n"/>
      <c r="F63" s="35" t="n"/>
      <c r="G63" s="36" t="n"/>
      <c r="H63" s="36" t="n"/>
      <c r="I63" s="34" t="n"/>
      <c r="J63" s="35" t="n"/>
    </row>
    <row r="64">
      <c r="A64" s="34" t="n"/>
      <c r="B64" s="35" t="n"/>
      <c r="C64" s="35" t="n"/>
      <c r="D64" s="35" t="n"/>
      <c r="E64" s="35" t="n"/>
      <c r="F64" s="35" t="n"/>
      <c r="G64" s="36" t="n"/>
      <c r="H64" s="36" t="n"/>
      <c r="I64" s="34" t="n"/>
      <c r="J64" s="35" t="n"/>
    </row>
    <row r="65">
      <c r="A65" s="34" t="n"/>
      <c r="B65" s="35" t="n"/>
      <c r="C65" s="35" t="n"/>
      <c r="D65" s="35" t="n"/>
      <c r="E65" s="35" t="n"/>
      <c r="F65" s="35" t="n"/>
      <c r="G65" s="36" t="n"/>
      <c r="H65" s="36" t="n"/>
      <c r="I65" s="34" t="n"/>
      <c r="J65" s="35" t="n"/>
    </row>
    <row r="66">
      <c r="A66" s="34" t="n"/>
      <c r="B66" s="35" t="n"/>
      <c r="C66" s="35" t="n"/>
      <c r="D66" s="35" t="n"/>
      <c r="E66" s="35" t="n"/>
      <c r="F66" s="35" t="n"/>
      <c r="G66" s="36" t="n"/>
      <c r="H66" s="36" t="n"/>
      <c r="I66" s="34" t="n"/>
      <c r="J66" s="35" t="n"/>
    </row>
    <row r="67">
      <c r="A67" s="34" t="n"/>
      <c r="B67" s="35" t="n"/>
      <c r="C67" s="35" t="n"/>
      <c r="D67" s="35" t="n"/>
      <c r="E67" s="35" t="n"/>
      <c r="F67" s="35" t="n"/>
      <c r="G67" s="36" t="n"/>
      <c r="H67" s="36" t="n"/>
      <c r="I67" s="34" t="n"/>
      <c r="J67" s="35" t="n"/>
    </row>
    <row r="68">
      <c r="A68" s="34" t="n"/>
      <c r="B68" s="35" t="n"/>
      <c r="C68" s="35" t="n"/>
      <c r="D68" s="35" t="n"/>
      <c r="E68" s="35" t="n"/>
      <c r="F68" s="35" t="n"/>
      <c r="G68" s="36" t="n"/>
      <c r="H68" s="36" t="n"/>
      <c r="I68" s="34" t="n"/>
      <c r="J68" s="35" t="n"/>
    </row>
    <row r="69">
      <c r="A69" s="34" t="n"/>
      <c r="B69" s="35" t="n"/>
      <c r="C69" s="35" t="n"/>
      <c r="D69" s="35" t="n"/>
      <c r="E69" s="35" t="n"/>
      <c r="F69" s="35" t="n"/>
      <c r="G69" s="36" t="n"/>
      <c r="H69" s="36" t="n"/>
      <c r="I69" s="34" t="n"/>
      <c r="J69" s="35" t="n"/>
    </row>
    <row r="70">
      <c r="A70" s="34" t="n"/>
      <c r="B70" s="35" t="n"/>
      <c r="C70" s="35" t="n"/>
      <c r="D70" s="35" t="n"/>
      <c r="E70" s="35" t="n"/>
      <c r="F70" s="35" t="n"/>
      <c r="G70" s="36" t="n"/>
      <c r="H70" s="36" t="n"/>
      <c r="I70" s="34" t="n"/>
      <c r="J70" s="35" t="n"/>
    </row>
    <row r="71">
      <c r="A71" s="34" t="n"/>
      <c r="B71" s="35" t="n"/>
      <c r="C71" s="35" t="n"/>
      <c r="D71" s="35" t="n"/>
      <c r="E71" s="35" t="n"/>
      <c r="F71" s="35" t="n"/>
      <c r="G71" s="36" t="n"/>
      <c r="H71" s="36" t="n"/>
      <c r="I71" s="34" t="n"/>
      <c r="J71" s="35" t="n"/>
    </row>
    <row r="72">
      <c r="A72" s="34" t="n"/>
      <c r="B72" s="35" t="n"/>
      <c r="C72" s="35" t="n"/>
      <c r="D72" s="35" t="n"/>
      <c r="E72" s="35" t="n"/>
      <c r="F72" s="35" t="n"/>
      <c r="G72" s="36" t="n"/>
      <c r="H72" s="36" t="n"/>
      <c r="I72" s="34" t="n"/>
      <c r="J72" s="35" t="n"/>
    </row>
    <row r="73">
      <c r="A73" s="34" t="n"/>
      <c r="B73" s="35" t="n"/>
      <c r="C73" s="35" t="n"/>
      <c r="D73" s="35" t="n"/>
      <c r="E73" s="35" t="n"/>
      <c r="F73" s="35" t="n"/>
      <c r="G73" s="36" t="n"/>
      <c r="H73" s="36" t="n"/>
      <c r="I73" s="34" t="n"/>
      <c r="J73" s="35" t="n"/>
    </row>
    <row r="74">
      <c r="A74" s="34" t="n"/>
      <c r="B74" s="35" t="n"/>
      <c r="C74" s="35" t="n"/>
      <c r="D74" s="35" t="n"/>
      <c r="E74" s="35" t="n"/>
      <c r="F74" s="35" t="n"/>
      <c r="G74" s="36" t="n"/>
      <c r="H74" s="36" t="n"/>
      <c r="I74" s="34" t="n"/>
      <c r="J74" s="35" t="n"/>
    </row>
    <row r="75">
      <c r="A75" s="34" t="n"/>
      <c r="B75" s="35" t="n"/>
      <c r="C75" s="35" t="n"/>
      <c r="D75" s="35" t="n"/>
      <c r="E75" s="35" t="n"/>
      <c r="F75" s="35" t="n"/>
      <c r="G75" s="36" t="n"/>
      <c r="H75" s="36" t="n"/>
      <c r="I75" s="34" t="n"/>
      <c r="J75" s="35" t="n"/>
    </row>
    <row r="76">
      <c r="A76" s="34" t="n"/>
      <c r="B76" s="35" t="n"/>
      <c r="C76" s="35" t="n"/>
      <c r="D76" s="35" t="n"/>
      <c r="E76" s="35" t="n"/>
      <c r="F76" s="35" t="n"/>
      <c r="G76" s="36" t="n"/>
      <c r="H76" s="36" t="n"/>
      <c r="I76" s="34" t="n"/>
      <c r="J76" s="35" t="n"/>
    </row>
    <row r="77">
      <c r="A77" s="34" t="n"/>
      <c r="B77" s="35" t="n"/>
      <c r="C77" s="35" t="n"/>
      <c r="D77" s="35" t="n"/>
      <c r="E77" s="35" t="n"/>
      <c r="F77" s="35" t="n"/>
      <c r="G77" s="36" t="n"/>
      <c r="H77" s="36" t="n"/>
      <c r="I77" s="34" t="n"/>
      <c r="J77" s="35" t="n"/>
    </row>
    <row r="78">
      <c r="A78" s="34" t="n"/>
      <c r="B78" s="35" t="n"/>
      <c r="C78" s="35" t="n"/>
      <c r="D78" s="35" t="n"/>
      <c r="E78" s="35" t="n"/>
      <c r="F78" s="35" t="n"/>
      <c r="G78" s="36" t="n"/>
      <c r="H78" s="36" t="n"/>
      <c r="I78" s="34" t="n"/>
      <c r="J78" s="35" t="n"/>
    </row>
    <row r="79">
      <c r="A79" s="34" t="n"/>
      <c r="B79" s="35" t="n"/>
      <c r="C79" s="35" t="n"/>
      <c r="D79" s="35" t="n"/>
      <c r="E79" s="35" t="n"/>
      <c r="F79" s="35" t="n"/>
      <c r="G79" s="36" t="n"/>
      <c r="H79" s="36" t="n"/>
      <c r="I79" s="34" t="n"/>
      <c r="J79" s="35" t="n"/>
    </row>
    <row r="80">
      <c r="A80" s="34" t="n"/>
      <c r="B80" s="35" t="n"/>
      <c r="C80" s="35" t="n"/>
      <c r="D80" s="35" t="n"/>
      <c r="E80" s="35" t="n"/>
      <c r="F80" s="35" t="n"/>
      <c r="G80" s="36" t="n"/>
      <c r="H80" s="36" t="n"/>
      <c r="I80" s="34" t="n"/>
      <c r="J80" s="35" t="n"/>
    </row>
    <row r="81">
      <c r="A81" s="34" t="n"/>
      <c r="B81" s="35" t="n"/>
      <c r="C81" s="35" t="n"/>
      <c r="D81" s="35" t="n"/>
      <c r="E81" s="35" t="n"/>
      <c r="F81" s="35" t="n"/>
      <c r="G81" s="36" t="n"/>
      <c r="H81" s="36" t="n"/>
      <c r="I81" s="34" t="n"/>
      <c r="J81" s="35" t="n"/>
    </row>
    <row r="82">
      <c r="A82" s="34" t="n"/>
      <c r="B82" s="35" t="n"/>
      <c r="C82" s="35" t="n"/>
      <c r="D82" s="35" t="n"/>
      <c r="E82" s="35" t="n"/>
      <c r="F82" s="35" t="n"/>
      <c r="G82" s="36" t="n"/>
      <c r="H82" s="36" t="n"/>
      <c r="I82" s="34" t="n"/>
      <c r="J82" s="35" t="n"/>
    </row>
    <row r="83">
      <c r="A83" s="34" t="n"/>
      <c r="B83" s="35" t="n"/>
      <c r="C83" s="35" t="n"/>
      <c r="D83" s="35" t="n"/>
      <c r="E83" s="35" t="n"/>
      <c r="F83" s="35" t="n"/>
      <c r="G83" s="36" t="n"/>
      <c r="H83" s="36" t="n"/>
      <c r="I83" s="34" t="n"/>
      <c r="J83" s="35" t="n"/>
    </row>
    <row r="84">
      <c r="A84" s="34" t="n"/>
      <c r="B84" s="35" t="n"/>
      <c r="C84" s="35" t="n"/>
      <c r="D84" s="35" t="n"/>
      <c r="E84" s="35" t="n"/>
      <c r="F84" s="35" t="n"/>
      <c r="G84" s="36" t="n"/>
      <c r="H84" s="36" t="n"/>
      <c r="I84" s="34" t="n"/>
      <c r="J84" s="35" t="n"/>
    </row>
    <row r="85">
      <c r="A85" s="34" t="n"/>
      <c r="B85" s="35" t="n"/>
      <c r="C85" s="35" t="n"/>
      <c r="D85" s="35" t="n"/>
      <c r="E85" s="35" t="n"/>
      <c r="F85" s="35" t="n"/>
      <c r="G85" s="36" t="n"/>
      <c r="H85" s="36" t="n"/>
      <c r="I85" s="34" t="n"/>
      <c r="J85" s="35" t="n"/>
    </row>
    <row r="86">
      <c r="A86" s="34" t="n"/>
      <c r="B86" s="35" t="n"/>
      <c r="C86" s="35" t="n"/>
      <c r="D86" s="35" t="n"/>
      <c r="E86" s="35" t="n"/>
      <c r="F86" s="35" t="n"/>
      <c r="G86" s="36" t="n"/>
      <c r="H86" s="36" t="n"/>
      <c r="I86" s="34" t="n"/>
      <c r="J86" s="35" t="n"/>
    </row>
    <row r="87">
      <c r="A87" s="34" t="n"/>
      <c r="B87" s="35" t="n"/>
      <c r="C87" s="35" t="n"/>
      <c r="D87" s="35" t="n"/>
      <c r="E87" s="35" t="n"/>
      <c r="F87" s="35" t="n"/>
      <c r="G87" s="36" t="n"/>
      <c r="H87" s="36" t="n"/>
      <c r="I87" s="34" t="n"/>
      <c r="J87" s="35" t="n"/>
    </row>
    <row r="88">
      <c r="A88" s="34" t="n"/>
      <c r="B88" s="35" t="n"/>
      <c r="C88" s="35" t="n"/>
      <c r="D88" s="35" t="n"/>
      <c r="E88" s="35" t="n"/>
      <c r="F88" s="35" t="n"/>
      <c r="G88" s="36" t="n"/>
      <c r="H88" s="36" t="n"/>
      <c r="I88" s="34" t="n"/>
      <c r="J88" s="35" t="n"/>
    </row>
    <row r="89">
      <c r="A89" s="34" t="n"/>
      <c r="B89" s="35" t="n"/>
      <c r="C89" s="35" t="n"/>
      <c r="D89" s="35" t="n"/>
      <c r="E89" s="35" t="n"/>
      <c r="F89" s="35" t="n"/>
      <c r="G89" s="36" t="n"/>
      <c r="H89" s="36" t="n"/>
      <c r="I89" s="34" t="n"/>
      <c r="J89" s="35" t="n"/>
    </row>
    <row r="90">
      <c r="A90" s="34" t="n"/>
      <c r="B90" s="35" t="n"/>
      <c r="C90" s="35" t="n"/>
      <c r="D90" s="35" t="n"/>
      <c r="E90" s="35" t="n"/>
      <c r="F90" s="35" t="n"/>
      <c r="G90" s="36" t="n"/>
      <c r="H90" s="36" t="n"/>
      <c r="I90" s="34" t="n"/>
      <c r="J90" s="35" t="n"/>
    </row>
    <row r="91">
      <c r="A91" s="34" t="n"/>
      <c r="B91" s="35" t="n"/>
      <c r="C91" s="35" t="n"/>
      <c r="D91" s="35" t="n"/>
      <c r="E91" s="35" t="n"/>
      <c r="F91" s="35" t="n"/>
      <c r="G91" s="36" t="n"/>
      <c r="H91" s="36" t="n"/>
      <c r="I91" s="34" t="n"/>
      <c r="J91" s="35" t="n"/>
    </row>
    <row r="92">
      <c r="A92" s="34" t="n"/>
      <c r="B92" s="35" t="n"/>
      <c r="C92" s="35" t="n"/>
      <c r="D92" s="35" t="n"/>
      <c r="E92" s="35" t="n"/>
      <c r="F92" s="35" t="n"/>
      <c r="G92" s="36" t="n"/>
      <c r="H92" s="36" t="n"/>
      <c r="I92" s="34" t="n"/>
      <c r="J92" s="35" t="n"/>
    </row>
    <row r="93">
      <c r="A93" s="34" t="n"/>
      <c r="B93" s="35" t="n"/>
      <c r="C93" s="35" t="n"/>
      <c r="D93" s="35" t="n"/>
      <c r="E93" s="35" t="n"/>
      <c r="F93" s="35" t="n"/>
      <c r="G93" s="36" t="n"/>
      <c r="H93" s="36" t="n"/>
      <c r="I93" s="34" t="n"/>
      <c r="J93" s="35" t="n"/>
    </row>
    <row r="94">
      <c r="A94" s="34" t="n"/>
      <c r="B94" s="35" t="n"/>
      <c r="C94" s="35" t="n"/>
      <c r="D94" s="35" t="n"/>
      <c r="E94" s="35" t="n"/>
      <c r="F94" s="35" t="n"/>
      <c r="G94" s="36" t="n"/>
      <c r="H94" s="36" t="n"/>
      <c r="I94" s="34" t="n"/>
      <c r="J94" s="35" t="n"/>
    </row>
    <row r="95">
      <c r="A95" s="34" t="n"/>
      <c r="B95" s="35" t="n"/>
      <c r="C95" s="35" t="n"/>
      <c r="D95" s="35" t="n"/>
      <c r="E95" s="35" t="n"/>
      <c r="F95" s="35" t="n"/>
      <c r="G95" s="36" t="n"/>
      <c r="H95" s="36" t="n"/>
      <c r="I95" s="34" t="n"/>
      <c r="J95" s="35" t="n"/>
    </row>
    <row r="96">
      <c r="A96" s="34" t="n"/>
      <c r="B96" s="35" t="n"/>
      <c r="C96" s="35" t="n"/>
      <c r="D96" s="35" t="n"/>
      <c r="E96" s="35" t="n"/>
      <c r="F96" s="35" t="n"/>
      <c r="G96" s="36" t="n"/>
      <c r="H96" s="36" t="n"/>
      <c r="I96" s="34" t="n"/>
      <c r="J96" s="35" t="n"/>
    </row>
    <row r="97">
      <c r="A97" s="34" t="n"/>
      <c r="B97" s="35" t="n"/>
      <c r="C97" s="35" t="n"/>
      <c r="D97" s="35" t="n"/>
      <c r="E97" s="35" t="n"/>
      <c r="F97" s="35" t="n"/>
      <c r="G97" s="36" t="n"/>
      <c r="H97" s="36" t="n"/>
      <c r="I97" s="34" t="n"/>
      <c r="J97" s="35" t="n"/>
    </row>
    <row r="98">
      <c r="A98" s="34" t="n"/>
      <c r="B98" s="35" t="n"/>
      <c r="C98" s="35" t="n"/>
      <c r="D98" s="35" t="n"/>
      <c r="E98" s="35" t="n"/>
      <c r="F98" s="35" t="n"/>
      <c r="G98" s="36" t="n"/>
      <c r="H98" s="36" t="n"/>
      <c r="I98" s="34" t="n"/>
      <c r="J98" s="35" t="n"/>
    </row>
    <row r="99">
      <c r="A99" s="34" t="n"/>
      <c r="B99" s="35" t="n"/>
      <c r="C99" s="35" t="n"/>
      <c r="D99" s="35" t="n"/>
      <c r="E99" s="35" t="n"/>
      <c r="F99" s="35" t="n"/>
      <c r="G99" s="36" t="n"/>
      <c r="H99" s="36" t="n"/>
      <c r="I99" s="34" t="n"/>
      <c r="J99" s="35" t="n"/>
    </row>
    <row r="100">
      <c r="A100" s="34" t="n"/>
      <c r="B100" s="35" t="n"/>
      <c r="C100" s="35" t="n"/>
      <c r="D100" s="35" t="n"/>
      <c r="E100" s="35" t="n"/>
      <c r="F100" s="35" t="n"/>
      <c r="G100" s="36" t="n"/>
      <c r="H100" s="36" t="n"/>
      <c r="I100" s="34" t="n"/>
      <c r="J100" s="35" t="n"/>
    </row>
    <row r="101">
      <c r="A101" s="34" t="n"/>
      <c r="B101" s="35" t="n"/>
      <c r="C101" s="35" t="n"/>
      <c r="D101" s="35" t="n"/>
      <c r="E101" s="35" t="n"/>
      <c r="F101" s="35" t="n"/>
      <c r="G101" s="36" t="n"/>
      <c r="H101" s="36" t="n"/>
      <c r="I101" s="34" t="n"/>
      <c r="J101" s="35" t="n"/>
    </row>
    <row r="102">
      <c r="A102" s="34" t="n"/>
      <c r="B102" s="35" t="n"/>
      <c r="C102" s="35" t="n"/>
      <c r="D102" s="35" t="n"/>
      <c r="E102" s="35" t="n"/>
      <c r="F102" s="35" t="n"/>
      <c r="G102" s="36" t="n"/>
      <c r="H102" s="36" t="n"/>
      <c r="I102" s="34" t="n"/>
      <c r="J102" s="35" t="n"/>
    </row>
    <row r="103">
      <c r="A103" s="34" t="n"/>
      <c r="B103" s="35" t="n"/>
      <c r="C103" s="35" t="n"/>
      <c r="D103" s="35" t="n"/>
      <c r="E103" s="35" t="n"/>
      <c r="F103" s="35" t="n"/>
      <c r="G103" s="36" t="n"/>
      <c r="H103" s="36" t="n"/>
      <c r="I103" s="34" t="n"/>
      <c r="J103" s="35" t="n"/>
    </row>
    <row r="104">
      <c r="A104" s="34" t="n"/>
      <c r="B104" s="35" t="n"/>
      <c r="C104" s="35" t="n"/>
      <c r="D104" s="35" t="n"/>
      <c r="E104" s="35" t="n"/>
      <c r="F104" s="35" t="n"/>
      <c r="G104" s="36" t="n"/>
      <c r="H104" s="36" t="n"/>
      <c r="I104" s="34" t="n"/>
      <c r="J104" s="35" t="n"/>
    </row>
    <row r="105">
      <c r="A105" s="34" t="n"/>
      <c r="B105" s="35" t="n"/>
      <c r="C105" s="35" t="n"/>
      <c r="D105" s="35" t="n"/>
      <c r="E105" s="35" t="n"/>
      <c r="F105" s="35" t="n"/>
      <c r="G105" s="36" t="n"/>
      <c r="H105" s="36" t="n"/>
      <c r="I105" s="34" t="n"/>
      <c r="J105" s="35" t="n"/>
    </row>
    <row r="106">
      <c r="A106" s="34" t="n"/>
      <c r="B106" s="35" t="n"/>
      <c r="C106" s="35" t="n"/>
      <c r="D106" s="35" t="n"/>
      <c r="E106" s="35" t="n"/>
      <c r="F106" s="35" t="n"/>
      <c r="G106" s="36" t="n"/>
      <c r="H106" s="36" t="n"/>
      <c r="I106" s="34" t="n"/>
      <c r="J106" s="35" t="n"/>
    </row>
    <row r="107">
      <c r="A107" s="34" t="n"/>
      <c r="B107" s="35" t="n"/>
      <c r="C107" s="35" t="n"/>
      <c r="D107" s="35" t="n"/>
      <c r="E107" s="35" t="n"/>
      <c r="F107" s="35" t="n"/>
      <c r="G107" s="36" t="n"/>
      <c r="H107" s="36" t="n"/>
      <c r="I107" s="34" t="n"/>
      <c r="J107" s="35" t="n"/>
    </row>
    <row r="108">
      <c r="A108" s="34" t="n"/>
      <c r="B108" s="35" t="n"/>
      <c r="C108" s="35" t="n"/>
      <c r="D108" s="35" t="n"/>
      <c r="E108" s="35" t="n"/>
      <c r="F108" s="35" t="n"/>
      <c r="G108" s="36" t="n"/>
      <c r="H108" s="36" t="n"/>
      <c r="I108" s="34" t="n"/>
      <c r="J108" s="35" t="n"/>
    </row>
    <row r="109">
      <c r="A109" s="34" t="n"/>
      <c r="B109" s="35" t="n"/>
      <c r="C109" s="35" t="n"/>
      <c r="D109" s="35" t="n"/>
      <c r="E109" s="35" t="n"/>
      <c r="F109" s="35" t="n"/>
      <c r="G109" s="36" t="n"/>
      <c r="H109" s="36" t="n"/>
      <c r="I109" s="34" t="n"/>
      <c r="J109" s="35" t="n"/>
    </row>
    <row r="110">
      <c r="A110" s="34" t="n"/>
      <c r="B110" s="35" t="n"/>
      <c r="C110" s="35" t="n"/>
      <c r="D110" s="35" t="n"/>
      <c r="E110" s="35" t="n"/>
      <c r="F110" s="35" t="n"/>
      <c r="G110" s="36" t="n"/>
      <c r="H110" s="36" t="n"/>
      <c r="I110" s="34" t="n"/>
      <c r="J110" s="35" t="n"/>
    </row>
    <row r="111">
      <c r="A111" s="34" t="n"/>
      <c r="B111" s="35" t="n"/>
      <c r="C111" s="35" t="n"/>
      <c r="D111" s="35" t="n"/>
      <c r="E111" s="35" t="n"/>
      <c r="F111" s="35" t="n"/>
      <c r="G111" s="36" t="n"/>
      <c r="H111" s="36" t="n"/>
      <c r="I111" s="34" t="n"/>
      <c r="J111" s="35" t="n"/>
    </row>
    <row r="112">
      <c r="A112" s="34" t="n"/>
      <c r="B112" s="35" t="n"/>
      <c r="C112" s="35" t="n"/>
      <c r="D112" s="35" t="n"/>
      <c r="E112" s="35" t="n"/>
      <c r="F112" s="35" t="n"/>
      <c r="G112" s="36" t="n"/>
      <c r="H112" s="36" t="n"/>
      <c r="I112" s="34" t="n"/>
      <c r="J112" s="35" t="n"/>
    </row>
    <row r="113">
      <c r="A113" s="34" t="n"/>
      <c r="B113" s="35" t="n"/>
      <c r="C113" s="35" t="n"/>
      <c r="D113" s="35" t="n"/>
      <c r="E113" s="35" t="n"/>
      <c r="F113" s="35" t="n"/>
      <c r="G113" s="36" t="n"/>
      <c r="H113" s="36" t="n"/>
      <c r="I113" s="34" t="n"/>
      <c r="J113" s="35" t="n"/>
    </row>
    <row r="114">
      <c r="A114" s="34" t="n"/>
      <c r="B114" s="35" t="n"/>
      <c r="C114" s="35" t="n"/>
      <c r="D114" s="35" t="n"/>
      <c r="E114" s="35" t="n"/>
      <c r="F114" s="35" t="n"/>
      <c r="G114" s="36" t="n"/>
      <c r="H114" s="36" t="n"/>
      <c r="I114" s="34" t="n"/>
      <c r="J114" s="35" t="n"/>
    </row>
    <row r="115">
      <c r="A115" s="34" t="n"/>
      <c r="B115" s="35" t="n"/>
      <c r="C115" s="35" t="n"/>
      <c r="D115" s="35" t="n"/>
      <c r="E115" s="35" t="n"/>
      <c r="F115" s="35" t="n"/>
      <c r="G115" s="36" t="n"/>
      <c r="H115" s="36" t="n"/>
      <c r="I115" s="34" t="n"/>
      <c r="J115" s="35" t="n"/>
    </row>
    <row r="116">
      <c r="A116" s="34" t="n"/>
      <c r="B116" s="35" t="n"/>
      <c r="C116" s="35" t="n"/>
      <c r="D116" s="35" t="n"/>
      <c r="E116" s="35" t="n"/>
      <c r="F116" s="35" t="n"/>
      <c r="G116" s="36" t="n"/>
      <c r="H116" s="36" t="n"/>
      <c r="I116" s="34" t="n"/>
      <c r="J116" s="35" t="n"/>
    </row>
    <row r="117">
      <c r="A117" s="34" t="n"/>
      <c r="B117" s="35" t="n"/>
      <c r="C117" s="35" t="n"/>
      <c r="D117" s="35" t="n"/>
      <c r="E117" s="35" t="n"/>
      <c r="F117" s="35" t="n"/>
      <c r="G117" s="36" t="n"/>
      <c r="H117" s="36" t="n"/>
      <c r="I117" s="34" t="n"/>
      <c r="J117" s="35" t="n"/>
    </row>
    <row r="118">
      <c r="A118" s="34" t="n"/>
      <c r="B118" s="35" t="n"/>
      <c r="C118" s="35" t="n"/>
      <c r="D118" s="35" t="n"/>
      <c r="E118" s="35" t="n"/>
      <c r="F118" s="35" t="n"/>
      <c r="G118" s="36" t="n"/>
      <c r="H118" s="36" t="n"/>
      <c r="I118" s="34" t="n"/>
      <c r="J118" s="35" t="n"/>
    </row>
    <row r="119">
      <c r="A119" s="34" t="n"/>
      <c r="B119" s="35" t="n"/>
      <c r="C119" s="35" t="n"/>
      <c r="D119" s="35" t="n"/>
      <c r="E119" s="35" t="n"/>
      <c r="F119" s="35" t="n"/>
      <c r="G119" s="36" t="n"/>
      <c r="H119" s="36" t="n"/>
      <c r="I119" s="34" t="n"/>
      <c r="J119" s="35" t="n"/>
    </row>
    <row r="120">
      <c r="A120" s="34" t="n"/>
      <c r="B120" s="35" t="n"/>
      <c r="C120" s="35" t="n"/>
      <c r="D120" s="35" t="n"/>
      <c r="E120" s="35" t="n"/>
      <c r="F120" s="35" t="n"/>
      <c r="G120" s="36" t="n"/>
      <c r="H120" s="36" t="n"/>
      <c r="I120" s="34" t="n"/>
      <c r="J120" s="35" t="n"/>
    </row>
    <row r="121">
      <c r="A121" s="34" t="n"/>
      <c r="B121" s="35" t="n"/>
      <c r="C121" s="35" t="n"/>
      <c r="D121" s="35" t="n"/>
      <c r="E121" s="35" t="n"/>
      <c r="F121" s="35" t="n"/>
      <c r="G121" s="36" t="n"/>
      <c r="H121" s="36" t="n"/>
      <c r="I121" s="34" t="n"/>
      <c r="J121" s="35" t="n"/>
    </row>
    <row r="122">
      <c r="A122" s="34" t="n"/>
      <c r="B122" s="35" t="n"/>
      <c r="C122" s="35" t="n"/>
      <c r="D122" s="35" t="n"/>
      <c r="E122" s="35" t="n"/>
      <c r="F122" s="35" t="n"/>
      <c r="G122" s="36" t="n"/>
      <c r="H122" s="36" t="n"/>
      <c r="I122" s="34" t="n"/>
      <c r="J122" s="35" t="n"/>
    </row>
    <row r="123">
      <c r="A123" s="34" t="n"/>
      <c r="B123" s="35" t="n"/>
      <c r="C123" s="35" t="n"/>
      <c r="D123" s="35" t="n"/>
      <c r="E123" s="35" t="n"/>
      <c r="F123" s="35" t="n"/>
      <c r="G123" s="36" t="n"/>
      <c r="H123" s="36" t="n"/>
      <c r="I123" s="34" t="n"/>
      <c r="J123" s="35" t="n"/>
    </row>
    <row r="124">
      <c r="A124" s="34" t="n"/>
      <c r="B124" s="35" t="n"/>
      <c r="C124" s="35" t="n"/>
      <c r="D124" s="35" t="n"/>
      <c r="E124" s="35" t="n"/>
      <c r="F124" s="35" t="n"/>
      <c r="G124" s="36" t="n"/>
      <c r="H124" s="36" t="n"/>
      <c r="I124" s="34" t="n"/>
      <c r="J124" s="35" t="n"/>
    </row>
    <row r="125">
      <c r="A125" s="34" t="n"/>
      <c r="B125" s="35" t="n"/>
      <c r="C125" s="35" t="n"/>
      <c r="D125" s="35" t="n"/>
      <c r="E125" s="35" t="n"/>
      <c r="F125" s="35" t="n"/>
      <c r="G125" s="36" t="n"/>
      <c r="H125" s="36" t="n"/>
      <c r="I125" s="34" t="n"/>
      <c r="J125" s="35" t="n"/>
    </row>
    <row r="126">
      <c r="A126" s="34" t="n"/>
      <c r="B126" s="35" t="n"/>
      <c r="C126" s="35" t="n"/>
      <c r="D126" s="35" t="n"/>
      <c r="E126" s="35" t="n"/>
      <c r="F126" s="35" t="n"/>
      <c r="G126" s="36" t="n"/>
      <c r="H126" s="36" t="n"/>
      <c r="I126" s="34" t="n"/>
      <c r="J126" s="35" t="n"/>
    </row>
    <row r="127">
      <c r="A127" s="34" t="n"/>
      <c r="B127" s="35" t="n"/>
      <c r="C127" s="35" t="n"/>
      <c r="D127" s="35" t="n"/>
      <c r="E127" s="35" t="n"/>
      <c r="F127" s="35" t="n"/>
      <c r="G127" s="36" t="n"/>
      <c r="H127" s="36" t="n"/>
      <c r="I127" s="34" t="n"/>
      <c r="J127" s="35" t="n"/>
    </row>
    <row r="128">
      <c r="A128" s="34" t="n"/>
      <c r="B128" s="35" t="n"/>
      <c r="C128" s="35" t="n"/>
      <c r="D128" s="35" t="n"/>
      <c r="E128" s="35" t="n"/>
      <c r="F128" s="35" t="n"/>
      <c r="G128" s="36" t="n"/>
      <c r="H128" s="36" t="n"/>
      <c r="I128" s="34" t="n"/>
      <c r="J128" s="35" t="n"/>
    </row>
    <row r="129">
      <c r="A129" s="34" t="n"/>
      <c r="B129" s="35" t="n"/>
      <c r="C129" s="35" t="n"/>
      <c r="D129" s="35" t="n"/>
      <c r="E129" s="35" t="n"/>
      <c r="F129" s="35" t="n"/>
      <c r="G129" s="36" t="n"/>
      <c r="H129" s="36" t="n"/>
      <c r="I129" s="34" t="n"/>
      <c r="J129" s="35" t="n"/>
    </row>
    <row r="130">
      <c r="A130" s="34" t="n"/>
      <c r="B130" s="35" t="n"/>
      <c r="C130" s="35" t="n"/>
      <c r="D130" s="35" t="n"/>
      <c r="E130" s="35" t="n"/>
      <c r="F130" s="35" t="n"/>
      <c r="G130" s="36" t="n"/>
      <c r="H130" s="36" t="n"/>
      <c r="I130" s="34" t="n"/>
      <c r="J130" s="35" t="n"/>
    </row>
    <row r="131">
      <c r="A131" s="34" t="n"/>
      <c r="B131" s="35" t="n"/>
      <c r="C131" s="35" t="n"/>
      <c r="D131" s="35" t="n"/>
      <c r="E131" s="35" t="n"/>
      <c r="F131" s="35" t="n"/>
      <c r="G131" s="36" t="n"/>
      <c r="H131" s="36" t="n"/>
      <c r="I131" s="34" t="n"/>
      <c r="J131" s="35" t="n"/>
    </row>
    <row r="132">
      <c r="A132" s="34" t="n"/>
      <c r="B132" s="35" t="n"/>
      <c r="C132" s="35" t="n"/>
      <c r="D132" s="35" t="n"/>
      <c r="E132" s="35" t="n"/>
      <c r="F132" s="35" t="n"/>
      <c r="G132" s="36" t="n"/>
      <c r="H132" s="36" t="n"/>
      <c r="I132" s="34" t="n"/>
      <c r="J132" s="35" t="n"/>
    </row>
    <row r="133">
      <c r="A133" s="34" t="n"/>
      <c r="B133" s="35" t="n"/>
      <c r="C133" s="35" t="n"/>
      <c r="D133" s="35" t="n"/>
      <c r="E133" s="35" t="n"/>
      <c r="F133" s="35" t="n"/>
      <c r="G133" s="36" t="n"/>
      <c r="H133" s="36" t="n"/>
      <c r="I133" s="34" t="n"/>
      <c r="J133" s="35" t="n"/>
    </row>
    <row r="134">
      <c r="A134" s="34" t="n"/>
      <c r="B134" s="35" t="n"/>
      <c r="C134" s="35" t="n"/>
      <c r="D134" s="35" t="n"/>
      <c r="E134" s="35" t="n"/>
      <c r="F134" s="35" t="n"/>
      <c r="G134" s="36" t="n"/>
      <c r="H134" s="36" t="n"/>
      <c r="I134" s="34" t="n"/>
      <c r="J134" s="35" t="n"/>
    </row>
    <row r="135">
      <c r="A135" s="34" t="n"/>
      <c r="B135" s="35" t="n"/>
      <c r="C135" s="35" t="n"/>
      <c r="D135" s="35" t="n"/>
      <c r="E135" s="35" t="n"/>
      <c r="F135" s="35" t="n"/>
      <c r="G135" s="36" t="n"/>
      <c r="H135" s="36" t="n"/>
      <c r="I135" s="34" t="n"/>
      <c r="J135" s="35" t="n"/>
    </row>
    <row r="136">
      <c r="A136" s="34" t="n"/>
      <c r="B136" s="35" t="n"/>
      <c r="C136" s="35" t="n"/>
      <c r="D136" s="35" t="n"/>
      <c r="E136" s="35" t="n"/>
      <c r="F136" s="35" t="n"/>
      <c r="G136" s="36" t="n"/>
      <c r="H136" s="36" t="n"/>
      <c r="I136" s="34" t="n"/>
      <c r="J136" s="35" t="n"/>
    </row>
    <row r="137">
      <c r="A137" s="34" t="n"/>
      <c r="B137" s="35" t="n"/>
      <c r="C137" s="35" t="n"/>
      <c r="D137" s="35" t="n"/>
      <c r="E137" s="35" t="n"/>
      <c r="F137" s="35" t="n"/>
      <c r="G137" s="36" t="n"/>
      <c r="H137" s="36" t="n"/>
      <c r="I137" s="34" t="n"/>
      <c r="J137" s="35" t="n"/>
    </row>
    <row r="138">
      <c r="A138" s="34" t="n"/>
      <c r="B138" s="35" t="n"/>
      <c r="C138" s="35" t="n"/>
      <c r="D138" s="35" t="n"/>
      <c r="E138" s="35" t="n"/>
      <c r="F138" s="35" t="n"/>
      <c r="G138" s="36" t="n"/>
      <c r="H138" s="36" t="n"/>
      <c r="I138" s="34" t="n"/>
      <c r="J138" s="35" t="n"/>
    </row>
    <row r="139">
      <c r="A139" s="34" t="n"/>
      <c r="B139" s="35" t="n"/>
      <c r="C139" s="35" t="n"/>
      <c r="D139" s="35" t="n"/>
      <c r="E139" s="35" t="n"/>
      <c r="F139" s="35" t="n"/>
      <c r="G139" s="36" t="n"/>
      <c r="H139" s="36" t="n"/>
      <c r="I139" s="34" t="n"/>
      <c r="J139" s="35" t="n"/>
    </row>
    <row r="140">
      <c r="A140" s="34" t="n"/>
      <c r="B140" s="35" t="n"/>
      <c r="C140" s="35" t="n"/>
      <c r="D140" s="35" t="n"/>
      <c r="E140" s="35" t="n"/>
      <c r="F140" s="35" t="n"/>
      <c r="G140" s="36" t="n"/>
      <c r="H140" s="36" t="n"/>
      <c r="I140" s="34" t="n"/>
      <c r="J140" s="35" t="n"/>
    </row>
    <row r="141">
      <c r="A141" s="34" t="n"/>
      <c r="B141" s="35" t="n"/>
      <c r="C141" s="35" t="n"/>
      <c r="D141" s="35" t="n"/>
      <c r="E141" s="35" t="n"/>
      <c r="F141" s="35" t="n"/>
      <c r="G141" s="36" t="n"/>
      <c r="H141" s="36" t="n"/>
      <c r="I141" s="34" t="n"/>
      <c r="J141" s="35" t="n"/>
    </row>
    <row r="142">
      <c r="A142" s="34" t="n"/>
      <c r="B142" s="35" t="n"/>
      <c r="C142" s="35" t="n"/>
      <c r="D142" s="35" t="n"/>
      <c r="E142" s="35" t="n"/>
      <c r="F142" s="35" t="n"/>
      <c r="G142" s="36" t="n"/>
      <c r="H142" s="36" t="n"/>
      <c r="I142" s="34" t="n"/>
      <c r="J142" s="35" t="n"/>
    </row>
    <row r="143">
      <c r="A143" s="34" t="n"/>
      <c r="B143" s="35" t="n"/>
      <c r="C143" s="35" t="n"/>
      <c r="D143" s="35" t="n"/>
      <c r="E143" s="35" t="n"/>
      <c r="F143" s="35" t="n"/>
      <c r="G143" s="36" t="n"/>
      <c r="H143" s="36" t="n"/>
      <c r="I143" s="34" t="n"/>
      <c r="J143" s="35" t="n"/>
    </row>
    <row r="144">
      <c r="A144" s="34" t="n"/>
      <c r="B144" s="35" t="n"/>
      <c r="C144" s="35" t="n"/>
      <c r="D144" s="35" t="n"/>
      <c r="E144" s="35" t="n"/>
      <c r="F144" s="35" t="n"/>
      <c r="G144" s="36" t="n"/>
      <c r="H144" s="36" t="n"/>
      <c r="I144" s="34" t="n"/>
      <c r="J144" s="35" t="n"/>
    </row>
    <row r="145">
      <c r="A145" s="34" t="n"/>
      <c r="B145" s="35" t="n"/>
      <c r="C145" s="35" t="n"/>
      <c r="D145" s="35" t="n"/>
      <c r="E145" s="35" t="n"/>
      <c r="F145" s="35" t="n"/>
      <c r="G145" s="36" t="n"/>
      <c r="H145" s="36" t="n"/>
      <c r="I145" s="34" t="n"/>
      <c r="J145" s="35" t="n"/>
    </row>
    <row r="146">
      <c r="A146" s="34" t="n"/>
      <c r="B146" s="35" t="n"/>
      <c r="C146" s="35" t="n"/>
      <c r="D146" s="35" t="n"/>
      <c r="E146" s="35" t="n"/>
      <c r="F146" s="35" t="n"/>
      <c r="G146" s="36" t="n"/>
      <c r="H146" s="36" t="n"/>
      <c r="I146" s="34" t="n"/>
      <c r="J146" s="35" t="n"/>
    </row>
    <row r="147">
      <c r="A147" s="34" t="n"/>
      <c r="B147" s="35" t="n"/>
      <c r="C147" s="35" t="n"/>
      <c r="D147" s="35" t="n"/>
      <c r="E147" s="35" t="n"/>
      <c r="F147" s="35" t="n"/>
      <c r="G147" s="36" t="n"/>
      <c r="H147" s="36" t="n"/>
      <c r="I147" s="34" t="n"/>
      <c r="J147" s="35" t="n"/>
    </row>
    <row r="148">
      <c r="A148" s="34" t="n"/>
      <c r="B148" s="35" t="n"/>
      <c r="C148" s="35" t="n"/>
      <c r="D148" s="35" t="n"/>
      <c r="E148" s="35" t="n"/>
      <c r="F148" s="35" t="n"/>
      <c r="G148" s="36" t="n"/>
      <c r="H148" s="36" t="n"/>
      <c r="I148" s="34" t="n"/>
      <c r="J148" s="35" t="n"/>
    </row>
    <row r="149">
      <c r="A149" s="34" t="n"/>
      <c r="B149" s="35" t="n"/>
      <c r="C149" s="35" t="n"/>
      <c r="D149" s="35" t="n"/>
      <c r="E149" s="35" t="n"/>
      <c r="F149" s="35" t="n"/>
      <c r="G149" s="36" t="n"/>
      <c r="H149" s="36" t="n"/>
      <c r="I149" s="34" t="n"/>
      <c r="J149" s="35" t="n"/>
    </row>
    <row r="150">
      <c r="A150" s="34" t="n"/>
      <c r="B150" s="35" t="n"/>
      <c r="C150" s="35" t="n"/>
      <c r="D150" s="35" t="n"/>
      <c r="E150" s="35" t="n"/>
      <c r="F150" s="35" t="n"/>
      <c r="G150" s="36" t="n"/>
      <c r="H150" s="36" t="n"/>
      <c r="I150" s="34" t="n"/>
      <c r="J150" s="35" t="n"/>
    </row>
    <row r="151">
      <c r="A151" s="34" t="n"/>
      <c r="B151" s="35" t="n"/>
      <c r="C151" s="35" t="n"/>
      <c r="D151" s="35" t="n"/>
      <c r="E151" s="35" t="n"/>
      <c r="F151" s="35" t="n"/>
      <c r="G151" s="36" t="n"/>
      <c r="H151" s="36" t="n"/>
      <c r="I151" s="34" t="n"/>
      <c r="J151" s="35" t="n"/>
    </row>
    <row r="152">
      <c r="A152" s="34" t="n"/>
      <c r="B152" s="35" t="n"/>
      <c r="C152" s="35" t="n"/>
      <c r="D152" s="35" t="n"/>
      <c r="E152" s="35" t="n"/>
      <c r="F152" s="35" t="n"/>
      <c r="G152" s="36" t="n"/>
      <c r="H152" s="36" t="n"/>
      <c r="I152" s="34" t="n"/>
      <c r="J152" s="35" t="n"/>
    </row>
    <row r="153">
      <c r="A153" s="34" t="n"/>
      <c r="B153" s="35" t="n"/>
      <c r="C153" s="35" t="n"/>
      <c r="D153" s="35" t="n"/>
      <c r="E153" s="35" t="n"/>
      <c r="F153" s="35" t="n"/>
      <c r="G153" s="36" t="n"/>
      <c r="H153" s="36" t="n"/>
      <c r="I153" s="34" t="n"/>
      <c r="J153" s="35" t="n"/>
    </row>
    <row r="154">
      <c r="A154" s="34" t="n"/>
      <c r="B154" s="35" t="n"/>
      <c r="C154" s="35" t="n"/>
      <c r="D154" s="35" t="n"/>
      <c r="E154" s="35" t="n"/>
      <c r="F154" s="35" t="n"/>
      <c r="G154" s="36" t="n"/>
      <c r="H154" s="36" t="n"/>
      <c r="I154" s="34" t="n"/>
      <c r="J154" s="35" t="n"/>
    </row>
    <row r="155">
      <c r="A155" s="34" t="n"/>
      <c r="B155" s="35" t="n"/>
      <c r="C155" s="35" t="n"/>
      <c r="D155" s="35" t="n"/>
      <c r="E155" s="35" t="n"/>
      <c r="F155" s="35" t="n"/>
      <c r="G155" s="36" t="n"/>
      <c r="H155" s="36" t="n"/>
      <c r="I155" s="34" t="n"/>
      <c r="J155" s="35" t="n"/>
    </row>
    <row r="156">
      <c r="A156" s="34" t="n"/>
      <c r="B156" s="35" t="n"/>
      <c r="C156" s="35" t="n"/>
      <c r="D156" s="35" t="n"/>
      <c r="E156" s="35" t="n"/>
      <c r="F156" s="35" t="n"/>
      <c r="G156" s="36" t="n"/>
      <c r="H156" s="36" t="n"/>
      <c r="I156" s="34" t="n"/>
      <c r="J156" s="35" t="n"/>
    </row>
    <row r="157">
      <c r="A157" s="34" t="n"/>
      <c r="B157" s="35" t="n"/>
      <c r="C157" s="35" t="n"/>
      <c r="D157" s="35" t="n"/>
      <c r="E157" s="35" t="n"/>
      <c r="F157" s="35" t="n"/>
      <c r="G157" s="36" t="n"/>
      <c r="H157" s="36" t="n"/>
      <c r="I157" s="34" t="n"/>
      <c r="J157" s="35" t="n"/>
    </row>
    <row r="158">
      <c r="A158" s="34" t="n"/>
      <c r="B158" s="35" t="n"/>
      <c r="C158" s="35" t="n"/>
      <c r="D158" s="35" t="n"/>
      <c r="E158" s="35" t="n"/>
      <c r="F158" s="35" t="n"/>
      <c r="G158" s="36" t="n"/>
      <c r="H158" s="36" t="n"/>
      <c r="I158" s="34" t="n"/>
      <c r="J158" s="35" t="n"/>
    </row>
    <row r="159">
      <c r="A159" s="34" t="n"/>
      <c r="B159" s="35" t="n"/>
      <c r="C159" s="35" t="n"/>
      <c r="D159" s="35" t="n"/>
      <c r="E159" s="35" t="n"/>
      <c r="F159" s="35" t="n"/>
      <c r="G159" s="36" t="n"/>
      <c r="H159" s="36" t="n"/>
      <c r="I159" s="34" t="n"/>
      <c r="J159" s="35" t="n"/>
    </row>
    <row r="160">
      <c r="A160" s="34" t="n"/>
      <c r="B160" s="35" t="n"/>
      <c r="C160" s="35" t="n"/>
      <c r="D160" s="35" t="n"/>
      <c r="E160" s="35" t="n"/>
      <c r="F160" s="35" t="n"/>
      <c r="G160" s="36" t="n"/>
      <c r="H160" s="36" t="n"/>
      <c r="I160" s="34" t="n"/>
      <c r="J160" s="35" t="n"/>
    </row>
    <row r="161">
      <c r="A161" s="34" t="n"/>
      <c r="B161" s="35" t="n"/>
      <c r="C161" s="35" t="n"/>
      <c r="D161" s="35" t="n"/>
      <c r="E161" s="35" t="n"/>
      <c r="F161" s="35" t="n"/>
      <c r="G161" s="36" t="n"/>
      <c r="H161" s="36" t="n"/>
      <c r="I161" s="34" t="n"/>
      <c r="J161" s="35" t="n"/>
    </row>
    <row r="162">
      <c r="A162" s="34" t="n"/>
      <c r="B162" s="35" t="n"/>
      <c r="C162" s="35" t="n"/>
      <c r="D162" s="35" t="n"/>
      <c r="E162" s="35" t="n"/>
      <c r="F162" s="35" t="n"/>
      <c r="G162" s="36" t="n"/>
      <c r="H162" s="36" t="n"/>
      <c r="I162" s="34" t="n"/>
      <c r="J162" s="35" t="n"/>
    </row>
    <row r="163">
      <c r="A163" s="34" t="n"/>
      <c r="B163" s="35" t="n"/>
      <c r="C163" s="35" t="n"/>
      <c r="D163" s="35" t="n"/>
      <c r="E163" s="35" t="n"/>
      <c r="F163" s="35" t="n"/>
      <c r="G163" s="36" t="n"/>
      <c r="H163" s="36" t="n"/>
      <c r="I163" s="34" t="n"/>
      <c r="J163" s="35" t="n"/>
    </row>
    <row r="164">
      <c r="A164" s="34" t="n"/>
      <c r="B164" s="35" t="n"/>
      <c r="C164" s="35" t="n"/>
      <c r="D164" s="35" t="n"/>
      <c r="E164" s="35" t="n"/>
      <c r="F164" s="35" t="n"/>
      <c r="G164" s="36" t="n"/>
      <c r="H164" s="36" t="n"/>
      <c r="I164" s="34" t="n"/>
      <c r="J164" s="35" t="n"/>
    </row>
    <row r="165">
      <c r="A165" s="34" t="n"/>
      <c r="B165" s="35" t="n"/>
      <c r="C165" s="35" t="n"/>
      <c r="D165" s="35" t="n"/>
      <c r="E165" s="35" t="n"/>
      <c r="F165" s="35" t="n"/>
      <c r="G165" s="36" t="n"/>
      <c r="H165" s="36" t="n"/>
      <c r="I165" s="34" t="n"/>
      <c r="J165" s="35" t="n"/>
    </row>
    <row r="166">
      <c r="A166" s="34" t="n"/>
      <c r="B166" s="35" t="n"/>
      <c r="C166" s="35" t="n"/>
      <c r="D166" s="35" t="n"/>
      <c r="E166" s="35" t="n"/>
      <c r="F166" s="35" t="n"/>
      <c r="G166" s="36" t="n"/>
      <c r="H166" s="36" t="n"/>
      <c r="I166" s="34" t="n"/>
      <c r="J166" s="35" t="n"/>
    </row>
    <row r="167">
      <c r="A167" s="34" t="n"/>
      <c r="B167" s="35" t="n"/>
      <c r="C167" s="35" t="n"/>
      <c r="D167" s="35" t="n"/>
      <c r="E167" s="35" t="n"/>
      <c r="F167" s="35" t="n"/>
      <c r="G167" s="36" t="n"/>
      <c r="H167" s="36" t="n"/>
      <c r="I167" s="34" t="n"/>
      <c r="J167" s="35" t="n"/>
    </row>
    <row r="168">
      <c r="A168" s="34" t="n"/>
      <c r="B168" s="35" t="n"/>
      <c r="C168" s="35" t="n"/>
      <c r="D168" s="35" t="n"/>
      <c r="E168" s="35" t="n"/>
      <c r="F168" s="35" t="n"/>
      <c r="G168" s="36" t="n"/>
      <c r="H168" s="36" t="n"/>
      <c r="I168" s="34" t="n"/>
      <c r="J168" s="35" t="n"/>
    </row>
    <row r="169">
      <c r="A169" s="34" t="n"/>
      <c r="B169" s="35" t="n"/>
      <c r="C169" s="35" t="n"/>
      <c r="D169" s="35" t="n"/>
      <c r="E169" s="35" t="n"/>
      <c r="F169" s="35" t="n"/>
      <c r="G169" s="36" t="n"/>
      <c r="H169" s="36" t="n"/>
      <c r="I169" s="34" t="n"/>
      <c r="J169" s="35" t="n"/>
    </row>
    <row r="170">
      <c r="A170" s="34" t="n"/>
      <c r="B170" s="35" t="n"/>
      <c r="C170" s="35" t="n"/>
      <c r="D170" s="35" t="n"/>
      <c r="E170" s="35" t="n"/>
      <c r="F170" s="35" t="n"/>
      <c r="G170" s="36" t="n"/>
      <c r="H170" s="36" t="n"/>
      <c r="I170" s="34" t="n"/>
      <c r="J170" s="35" t="n"/>
    </row>
    <row r="171">
      <c r="A171" s="34" t="n"/>
      <c r="B171" s="35" t="n"/>
      <c r="C171" s="35" t="n"/>
      <c r="D171" s="35" t="n"/>
      <c r="E171" s="35" t="n"/>
      <c r="F171" s="35" t="n"/>
      <c r="G171" s="36" t="n"/>
      <c r="H171" s="36" t="n"/>
      <c r="I171" s="34" t="n"/>
      <c r="J171" s="35" t="n"/>
    </row>
    <row r="172">
      <c r="A172" s="34" t="n"/>
      <c r="B172" s="35" t="n"/>
      <c r="C172" s="35" t="n"/>
      <c r="D172" s="35" t="n"/>
      <c r="E172" s="35" t="n"/>
      <c r="F172" s="35" t="n"/>
      <c r="G172" s="36" t="n"/>
      <c r="H172" s="36" t="n"/>
      <c r="I172" s="34" t="n"/>
      <c r="J172" s="35" t="n"/>
    </row>
    <row r="173">
      <c r="A173" s="34" t="n"/>
      <c r="B173" s="35" t="n"/>
      <c r="C173" s="35" t="n"/>
      <c r="D173" s="35" t="n"/>
      <c r="E173" s="35" t="n"/>
      <c r="F173" s="35" t="n"/>
      <c r="G173" s="36" t="n"/>
      <c r="H173" s="36" t="n"/>
      <c r="I173" s="34" t="n"/>
      <c r="J173" s="35" t="n"/>
    </row>
    <row r="174">
      <c r="A174" s="34" t="n"/>
      <c r="B174" s="35" t="n"/>
      <c r="C174" s="35" t="n"/>
      <c r="D174" s="35" t="n"/>
      <c r="E174" s="35" t="n"/>
      <c r="F174" s="35" t="n"/>
      <c r="G174" s="36" t="n"/>
      <c r="H174" s="36" t="n"/>
      <c r="I174" s="34" t="n"/>
      <c r="J174" s="35" t="n"/>
    </row>
    <row r="175">
      <c r="A175" s="34" t="n"/>
      <c r="B175" s="35" t="n"/>
      <c r="C175" s="35" t="n"/>
      <c r="D175" s="35" t="n"/>
      <c r="E175" s="35" t="n"/>
      <c r="F175" s="35" t="n"/>
      <c r="G175" s="36" t="n"/>
      <c r="H175" s="36" t="n"/>
      <c r="I175" s="34" t="n"/>
      <c r="J175" s="35" t="n"/>
    </row>
    <row r="176">
      <c r="A176" s="34" t="n"/>
      <c r="B176" s="35" t="n"/>
      <c r="C176" s="35" t="n"/>
      <c r="D176" s="35" t="n"/>
      <c r="E176" s="35" t="n"/>
      <c r="F176" s="35" t="n"/>
      <c r="G176" s="36" t="n"/>
      <c r="H176" s="36" t="n"/>
      <c r="I176" s="34" t="n"/>
      <c r="J176" s="35" t="n"/>
    </row>
    <row r="177">
      <c r="A177" s="34" t="n"/>
      <c r="B177" s="35" t="n"/>
      <c r="C177" s="35" t="n"/>
      <c r="D177" s="35" t="n"/>
      <c r="E177" s="35" t="n"/>
      <c r="F177" s="35" t="n"/>
      <c r="G177" s="36" t="n"/>
      <c r="H177" s="36" t="n"/>
      <c r="I177" s="34" t="n"/>
      <c r="J177" s="35" t="n"/>
    </row>
    <row r="178">
      <c r="A178" s="34" t="n"/>
      <c r="B178" s="35" t="n"/>
      <c r="C178" s="35" t="n"/>
      <c r="D178" s="35" t="n"/>
      <c r="E178" s="35" t="n"/>
      <c r="F178" s="35" t="n"/>
      <c r="G178" s="36" t="n"/>
      <c r="H178" s="36" t="n"/>
      <c r="I178" s="34" t="n"/>
      <c r="J178" s="35" t="n"/>
    </row>
    <row r="179">
      <c r="A179" s="34" t="n"/>
      <c r="B179" s="35" t="n"/>
      <c r="C179" s="35" t="n"/>
      <c r="D179" s="35" t="n"/>
      <c r="E179" s="35" t="n"/>
      <c r="F179" s="35" t="n"/>
      <c r="G179" s="36" t="n"/>
      <c r="H179" s="36" t="n"/>
      <c r="I179" s="34" t="n"/>
      <c r="J179" s="35" t="n"/>
    </row>
    <row r="180">
      <c r="A180" s="34" t="n"/>
      <c r="B180" s="35" t="n"/>
      <c r="C180" s="35" t="n"/>
      <c r="D180" s="35" t="n"/>
      <c r="E180" s="35" t="n"/>
      <c r="F180" s="35" t="n"/>
      <c r="G180" s="36" t="n"/>
      <c r="H180" s="36" t="n"/>
      <c r="I180" s="34" t="n"/>
      <c r="J180" s="35" t="n"/>
    </row>
    <row r="181">
      <c r="A181" s="34" t="n"/>
      <c r="B181" s="35" t="n"/>
      <c r="C181" s="35" t="n"/>
      <c r="D181" s="35" t="n"/>
      <c r="E181" s="35" t="n"/>
      <c r="F181" s="35" t="n"/>
      <c r="G181" s="36" t="n"/>
      <c r="H181" s="36" t="n"/>
      <c r="I181" s="34" t="n"/>
      <c r="J181" s="35" t="n"/>
    </row>
    <row r="182">
      <c r="A182" s="34" t="n"/>
      <c r="B182" s="35" t="n"/>
      <c r="C182" s="35" t="n"/>
      <c r="D182" s="35" t="n"/>
      <c r="E182" s="35" t="n"/>
      <c r="F182" s="35" t="n"/>
      <c r="G182" s="36" t="n"/>
      <c r="H182" s="36" t="n"/>
      <c r="I182" s="34" t="n"/>
      <c r="J182" s="35" t="n"/>
    </row>
    <row r="183">
      <c r="A183" s="34" t="n"/>
      <c r="B183" s="35" t="n"/>
      <c r="C183" s="35" t="n"/>
      <c r="D183" s="35" t="n"/>
      <c r="E183" s="35" t="n"/>
      <c r="F183" s="35" t="n"/>
      <c r="G183" s="36" t="n"/>
      <c r="H183" s="36" t="n"/>
      <c r="I183" s="34" t="n"/>
      <c r="J183" s="35" t="n"/>
    </row>
    <row r="184">
      <c r="A184" s="34" t="n"/>
      <c r="B184" s="35" t="n"/>
      <c r="C184" s="35" t="n"/>
      <c r="D184" s="35" t="n"/>
      <c r="E184" s="35" t="n"/>
      <c r="F184" s="35" t="n"/>
      <c r="G184" s="36" t="n"/>
      <c r="H184" s="36" t="n"/>
      <c r="I184" s="34" t="n"/>
      <c r="J184" s="35" t="n"/>
    </row>
    <row r="185">
      <c r="A185" s="34" t="n"/>
      <c r="B185" s="35" t="n"/>
      <c r="C185" s="35" t="n"/>
      <c r="D185" s="35" t="n"/>
      <c r="E185" s="35" t="n"/>
      <c r="F185" s="35" t="n"/>
      <c r="G185" s="36" t="n"/>
      <c r="H185" s="36" t="n"/>
      <c r="I185" s="34" t="n"/>
      <c r="J185" s="35" t="n"/>
    </row>
    <row r="186">
      <c r="A186" s="34" t="n"/>
      <c r="B186" s="35" t="n"/>
      <c r="C186" s="35" t="n"/>
      <c r="D186" s="35" t="n"/>
      <c r="E186" s="35" t="n"/>
      <c r="F186" s="35" t="n"/>
      <c r="G186" s="36" t="n"/>
      <c r="H186" s="36" t="n"/>
      <c r="I186" s="34" t="n"/>
      <c r="J186" s="35" t="n"/>
    </row>
    <row r="187">
      <c r="A187" s="34" t="n"/>
      <c r="B187" s="35" t="n"/>
      <c r="C187" s="35" t="n"/>
      <c r="D187" s="35" t="n"/>
      <c r="E187" s="35" t="n"/>
      <c r="F187" s="35" t="n"/>
      <c r="G187" s="36" t="n"/>
      <c r="H187" s="36" t="n"/>
      <c r="I187" s="34" t="n"/>
      <c r="J187" s="35" t="n"/>
    </row>
    <row r="188">
      <c r="A188" s="34" t="n"/>
      <c r="B188" s="35" t="n"/>
      <c r="C188" s="35" t="n"/>
      <c r="D188" s="35" t="n"/>
      <c r="E188" s="35" t="n"/>
      <c r="F188" s="35" t="n"/>
      <c r="G188" s="36" t="n"/>
      <c r="H188" s="36" t="n"/>
      <c r="I188" s="34" t="n"/>
      <c r="J188" s="35" t="n"/>
    </row>
    <row r="189">
      <c r="A189" s="34" t="n"/>
      <c r="B189" s="35" t="n"/>
      <c r="C189" s="35" t="n"/>
      <c r="D189" s="35" t="n"/>
      <c r="E189" s="35" t="n"/>
      <c r="F189" s="35" t="n"/>
      <c r="G189" s="36" t="n"/>
      <c r="H189" s="36" t="n"/>
      <c r="I189" s="34" t="n"/>
      <c r="J189" s="35" t="n"/>
    </row>
    <row r="190">
      <c r="A190" s="34" t="n"/>
      <c r="B190" s="35" t="n"/>
      <c r="C190" s="35" t="n"/>
      <c r="D190" s="35" t="n"/>
      <c r="E190" s="35" t="n"/>
      <c r="F190" s="35" t="n"/>
      <c r="G190" s="36" t="n"/>
      <c r="H190" s="36" t="n"/>
      <c r="I190" s="34" t="n"/>
      <c r="J190" s="35" t="n"/>
    </row>
    <row r="191">
      <c r="A191" s="34" t="n"/>
      <c r="B191" s="35" t="n"/>
      <c r="C191" s="35" t="n"/>
      <c r="D191" s="35" t="n"/>
      <c r="E191" s="35" t="n"/>
      <c r="F191" s="35" t="n"/>
      <c r="G191" s="36" t="n"/>
      <c r="H191" s="36" t="n"/>
      <c r="I191" s="34" t="n"/>
      <c r="J191" s="35" t="n"/>
    </row>
    <row r="192">
      <c r="A192" s="34" t="n"/>
      <c r="B192" s="35" t="n"/>
      <c r="C192" s="35" t="n"/>
      <c r="D192" s="35" t="n"/>
      <c r="E192" s="35" t="n"/>
      <c r="F192" s="35" t="n"/>
      <c r="G192" s="36" t="n"/>
      <c r="H192" s="36" t="n"/>
      <c r="I192" s="34" t="n"/>
      <c r="J192" s="35" t="n"/>
    </row>
    <row r="193">
      <c r="A193" s="34" t="n"/>
      <c r="B193" s="35" t="n"/>
      <c r="C193" s="35" t="n"/>
      <c r="D193" s="35" t="n"/>
      <c r="E193" s="35" t="n"/>
      <c r="F193" s="35" t="n"/>
      <c r="G193" s="36" t="n"/>
      <c r="H193" s="36" t="n"/>
      <c r="I193" s="34" t="n"/>
      <c r="J193" s="35" t="n"/>
    </row>
    <row r="194">
      <c r="A194" s="34" t="n"/>
      <c r="B194" s="35" t="n"/>
      <c r="C194" s="35" t="n"/>
      <c r="D194" s="35" t="n"/>
      <c r="E194" s="35" t="n"/>
      <c r="F194" s="35" t="n"/>
      <c r="G194" s="36" t="n"/>
      <c r="H194" s="36" t="n"/>
      <c r="I194" s="34" t="n"/>
      <c r="J194" s="35" t="n"/>
    </row>
    <row r="195">
      <c r="A195" s="34" t="n"/>
      <c r="B195" s="35" t="n"/>
      <c r="C195" s="35" t="n"/>
      <c r="D195" s="35" t="n"/>
      <c r="E195" s="35" t="n"/>
      <c r="F195" s="35" t="n"/>
      <c r="G195" s="36" t="n"/>
      <c r="H195" s="36" t="n"/>
      <c r="I195" s="34" t="n"/>
      <c r="J195" s="35" t="n"/>
    </row>
    <row r="196">
      <c r="A196" s="34" t="n"/>
      <c r="B196" s="35" t="n"/>
      <c r="C196" s="35" t="n"/>
      <c r="D196" s="35" t="n"/>
      <c r="E196" s="35" t="n"/>
      <c r="F196" s="35" t="n"/>
      <c r="G196" s="36" t="n"/>
      <c r="H196" s="36" t="n"/>
      <c r="I196" s="34" t="n"/>
      <c r="J196" s="35" t="n"/>
    </row>
    <row r="197">
      <c r="A197" s="34" t="n"/>
      <c r="B197" s="35" t="n"/>
      <c r="C197" s="35" t="n"/>
      <c r="D197" s="35" t="n"/>
      <c r="E197" s="35" t="n"/>
      <c r="F197" s="35" t="n"/>
      <c r="G197" s="36" t="n"/>
      <c r="H197" s="36" t="n"/>
      <c r="I197" s="34" t="n"/>
      <c r="J197" s="35" t="n"/>
    </row>
    <row r="198">
      <c r="A198" s="34" t="n"/>
      <c r="B198" s="35" t="n"/>
      <c r="C198" s="35" t="n"/>
      <c r="D198" s="35" t="n"/>
      <c r="E198" s="35" t="n"/>
      <c r="F198" s="35" t="n"/>
      <c r="G198" s="36" t="n"/>
      <c r="H198" s="36" t="n"/>
      <c r="I198" s="34" t="n"/>
      <c r="J198" s="35" t="n"/>
    </row>
    <row r="199">
      <c r="A199" s="34" t="n"/>
      <c r="B199" s="35" t="n"/>
      <c r="C199" s="35" t="n"/>
      <c r="D199" s="35" t="n"/>
      <c r="E199" s="35" t="n"/>
      <c r="F199" s="35" t="n"/>
      <c r="G199" s="36" t="n"/>
      <c r="H199" s="36" t="n"/>
      <c r="I199" s="34" t="n"/>
      <c r="J199" s="35" t="n"/>
    </row>
    <row r="200">
      <c r="A200" s="34" t="n"/>
      <c r="B200" s="35" t="n"/>
      <c r="C200" s="35" t="n"/>
      <c r="D200" s="35" t="n"/>
      <c r="E200" s="35" t="n"/>
      <c r="F200" s="35" t="n"/>
      <c r="G200" s="36" t="n"/>
      <c r="H200" s="36" t="n"/>
      <c r="I200" s="34" t="n"/>
      <c r="J200" s="35" t="n"/>
    </row>
    <row r="201">
      <c r="A201" s="34" t="n"/>
      <c r="B201" s="35" t="n"/>
      <c r="C201" s="35" t="n"/>
      <c r="D201" s="35" t="n"/>
      <c r="E201" s="35" t="n"/>
      <c r="F201" s="35" t="n"/>
      <c r="G201" s="36" t="n"/>
      <c r="H201" s="36" t="n"/>
      <c r="I201" s="34" t="n"/>
      <c r="J201" s="35" t="n"/>
    </row>
    <row r="202">
      <c r="A202" s="34" t="n"/>
      <c r="B202" s="35" t="n"/>
      <c r="C202" s="35" t="n"/>
      <c r="D202" s="35" t="n"/>
      <c r="E202" s="35" t="n"/>
      <c r="F202" s="35" t="n"/>
      <c r="G202" s="36" t="n"/>
      <c r="H202" s="36" t="n"/>
      <c r="I202" s="34" t="n"/>
      <c r="J202" s="35" t="n"/>
    </row>
    <row r="203">
      <c r="A203" s="34" t="n"/>
      <c r="B203" s="35" t="n"/>
      <c r="C203" s="35" t="n"/>
      <c r="D203" s="35" t="n"/>
      <c r="E203" s="35" t="n"/>
      <c r="F203" s="35" t="n"/>
      <c r="G203" s="36" t="n"/>
      <c r="H203" s="36" t="n"/>
      <c r="I203" s="34" t="n"/>
      <c r="J203" s="35" t="n"/>
    </row>
    <row r="204">
      <c r="A204" s="34" t="n"/>
      <c r="B204" s="35" t="n"/>
      <c r="C204" s="35" t="n"/>
      <c r="D204" s="35" t="n"/>
      <c r="E204" s="35" t="n"/>
      <c r="F204" s="35" t="n"/>
      <c r="G204" s="36" t="n"/>
      <c r="H204" s="36" t="n"/>
      <c r="I204" s="34" t="n"/>
      <c r="J204" s="35" t="n"/>
    </row>
    <row r="205">
      <c r="A205" s="34" t="n"/>
      <c r="B205" s="35" t="n"/>
      <c r="C205" s="35" t="n"/>
      <c r="D205" s="35" t="n"/>
      <c r="E205" s="35" t="n"/>
      <c r="F205" s="35" t="n"/>
      <c r="G205" s="36" t="n"/>
      <c r="H205" s="36" t="n"/>
      <c r="I205" s="34" t="n"/>
      <c r="J205" s="35" t="n"/>
    </row>
    <row r="206">
      <c r="A206" s="34" t="n"/>
      <c r="B206" s="35" t="n"/>
      <c r="C206" s="35" t="n"/>
      <c r="D206" s="35" t="n"/>
      <c r="E206" s="35" t="n"/>
      <c r="F206" s="35" t="n"/>
      <c r="G206" s="36" t="n"/>
      <c r="H206" s="36" t="n"/>
      <c r="I206" s="34" t="n"/>
      <c r="J206" s="35" t="n"/>
    </row>
    <row r="207">
      <c r="A207" s="34" t="n"/>
      <c r="B207" s="35" t="n"/>
      <c r="C207" s="35" t="n"/>
      <c r="D207" s="35" t="n"/>
      <c r="E207" s="35" t="n"/>
      <c r="F207" s="35" t="n"/>
      <c r="G207" s="36" t="n"/>
      <c r="H207" s="36" t="n"/>
      <c r="I207" s="34" t="n"/>
      <c r="J207" s="35" t="n"/>
    </row>
    <row r="208">
      <c r="A208" s="34" t="n"/>
      <c r="B208" s="35" t="n"/>
      <c r="C208" s="35" t="n"/>
      <c r="D208" s="35" t="n"/>
      <c r="E208" s="35" t="n"/>
      <c r="F208" s="35" t="n"/>
      <c r="G208" s="36" t="n"/>
      <c r="H208" s="36" t="n"/>
      <c r="I208" s="34" t="n"/>
      <c r="J208" s="35" t="n"/>
    </row>
    <row r="209">
      <c r="A209" s="34" t="n"/>
      <c r="B209" s="35" t="n"/>
      <c r="C209" s="35" t="n"/>
      <c r="D209" s="35" t="n"/>
      <c r="E209" s="35" t="n"/>
      <c r="F209" s="35" t="n"/>
      <c r="G209" s="36" t="n"/>
      <c r="H209" s="36" t="n"/>
      <c r="I209" s="34" t="n"/>
      <c r="J209" s="35" t="n"/>
    </row>
    <row r="210">
      <c r="A210" s="34" t="n"/>
      <c r="B210" s="35" t="n"/>
      <c r="C210" s="35" t="n"/>
      <c r="D210" s="35" t="n"/>
      <c r="E210" s="35" t="n"/>
      <c r="F210" s="35" t="n"/>
      <c r="G210" s="36" t="n"/>
      <c r="H210" s="36" t="n"/>
      <c r="I210" s="34" t="n"/>
      <c r="J210" s="35" t="n"/>
    </row>
    <row r="211">
      <c r="A211" s="34" t="n"/>
      <c r="B211" s="35" t="n"/>
      <c r="C211" s="35" t="n"/>
      <c r="D211" s="35" t="n"/>
      <c r="E211" s="35" t="n"/>
      <c r="F211" s="35" t="n"/>
      <c r="G211" s="36" t="n"/>
      <c r="H211" s="36" t="n"/>
      <c r="I211" s="34" t="n"/>
      <c r="J211" s="35" t="n"/>
    </row>
    <row r="212">
      <c r="A212" s="34" t="n"/>
      <c r="B212" s="35" t="n"/>
      <c r="C212" s="35" t="n"/>
      <c r="D212" s="35" t="n"/>
      <c r="E212" s="35" t="n"/>
      <c r="F212" s="35" t="n"/>
      <c r="G212" s="36" t="n"/>
      <c r="H212" s="36" t="n"/>
      <c r="I212" s="34" t="n"/>
      <c r="J212" s="35" t="n"/>
    </row>
    <row r="213">
      <c r="A213" s="34" t="n"/>
      <c r="B213" s="35" t="n"/>
      <c r="C213" s="35" t="n"/>
      <c r="D213" s="35" t="n"/>
      <c r="E213" s="35" t="n"/>
      <c r="F213" s="35" t="n"/>
      <c r="G213" s="36" t="n"/>
      <c r="H213" s="36" t="n"/>
      <c r="I213" s="34" t="n"/>
      <c r="J213" s="35" t="n"/>
    </row>
    <row r="214">
      <c r="A214" s="34" t="n"/>
      <c r="B214" s="35" t="n"/>
      <c r="C214" s="35" t="n"/>
      <c r="D214" s="35" t="n"/>
      <c r="E214" s="35" t="n"/>
      <c r="F214" s="35" t="n"/>
      <c r="G214" s="36" t="n"/>
      <c r="H214" s="36" t="n"/>
      <c r="I214" s="34" t="n"/>
      <c r="J214" s="35" t="n"/>
    </row>
    <row r="215">
      <c r="A215" s="34" t="n"/>
      <c r="B215" s="35" t="n"/>
      <c r="C215" s="35" t="n"/>
      <c r="D215" s="35" t="n"/>
      <c r="E215" s="35" t="n"/>
      <c r="F215" s="35" t="n"/>
      <c r="G215" s="36" t="n"/>
      <c r="H215" s="36" t="n"/>
      <c r="I215" s="34" t="n"/>
      <c r="J215" s="35" t="n"/>
    </row>
    <row r="216">
      <c r="A216" s="34" t="n"/>
      <c r="B216" s="35" t="n"/>
      <c r="C216" s="35" t="n"/>
      <c r="D216" s="35" t="n"/>
      <c r="E216" s="35" t="n"/>
      <c r="F216" s="35" t="n"/>
      <c r="G216" s="36" t="n"/>
      <c r="H216" s="36" t="n"/>
      <c r="I216" s="34" t="n"/>
      <c r="J216" s="35" t="n"/>
    </row>
    <row r="217">
      <c r="A217" s="34" t="n"/>
      <c r="B217" s="35" t="n"/>
      <c r="C217" s="35" t="n"/>
      <c r="D217" s="35" t="n"/>
      <c r="E217" s="35" t="n"/>
      <c r="F217" s="35" t="n"/>
      <c r="G217" s="36" t="n"/>
      <c r="H217" s="36" t="n"/>
      <c r="I217" s="34" t="n"/>
      <c r="J217" s="35" t="n"/>
    </row>
    <row r="218">
      <c r="A218" s="34" t="n"/>
      <c r="B218" s="35" t="n"/>
      <c r="C218" s="35" t="n"/>
      <c r="D218" s="35" t="n"/>
      <c r="E218" s="35" t="n"/>
      <c r="F218" s="35" t="n"/>
      <c r="G218" s="36" t="n"/>
      <c r="H218" s="36" t="n"/>
      <c r="I218" s="34" t="n"/>
      <c r="J218" s="35" t="n"/>
    </row>
    <row r="219">
      <c r="A219" s="34" t="n"/>
      <c r="B219" s="35" t="n"/>
      <c r="C219" s="35" t="n"/>
      <c r="D219" s="35" t="n"/>
      <c r="E219" s="35" t="n"/>
      <c r="F219" s="35" t="n"/>
      <c r="G219" s="36" t="n"/>
      <c r="H219" s="36" t="n"/>
      <c r="I219" s="34" t="n"/>
      <c r="J219" s="35" t="n"/>
    </row>
    <row r="220">
      <c r="A220" s="34" t="n"/>
      <c r="B220" s="35" t="n"/>
      <c r="C220" s="35" t="n"/>
      <c r="D220" s="35" t="n"/>
      <c r="E220" s="35" t="n"/>
      <c r="F220" s="35" t="n"/>
      <c r="G220" s="36" t="n"/>
      <c r="H220" s="36" t="n"/>
      <c r="I220" s="34" t="n"/>
      <c r="J220" s="35" t="n"/>
    </row>
    <row r="221">
      <c r="A221" s="34" t="n"/>
      <c r="B221" s="35" t="n"/>
      <c r="C221" s="35" t="n"/>
      <c r="D221" s="35" t="n"/>
      <c r="E221" s="35" t="n"/>
      <c r="F221" s="35" t="n"/>
      <c r="G221" s="36" t="n"/>
      <c r="H221" s="36" t="n"/>
      <c r="I221" s="34" t="n"/>
      <c r="J221" s="35" t="n"/>
    </row>
    <row r="222">
      <c r="A222" s="34" t="n"/>
      <c r="B222" s="35" t="n"/>
      <c r="C222" s="35" t="n"/>
      <c r="D222" s="35" t="n"/>
      <c r="E222" s="35" t="n"/>
      <c r="F222" s="35" t="n"/>
      <c r="G222" s="36" t="n"/>
      <c r="H222" s="36" t="n"/>
      <c r="I222" s="34" t="n"/>
      <c r="J222" s="35" t="n"/>
    </row>
    <row r="223">
      <c r="A223" s="34" t="n"/>
      <c r="B223" s="35" t="n"/>
      <c r="C223" s="35" t="n"/>
      <c r="D223" s="35" t="n"/>
      <c r="E223" s="35" t="n"/>
      <c r="F223" s="35" t="n"/>
      <c r="G223" s="36" t="n"/>
      <c r="H223" s="36" t="n"/>
      <c r="I223" s="34" t="n"/>
      <c r="J223" s="35" t="n"/>
    </row>
    <row r="224">
      <c r="A224" s="34" t="n"/>
      <c r="B224" s="35" t="n"/>
      <c r="C224" s="35" t="n"/>
      <c r="D224" s="35" t="n"/>
      <c r="E224" s="35" t="n"/>
      <c r="F224" s="35" t="n"/>
      <c r="G224" s="36" t="n"/>
      <c r="H224" s="36" t="n"/>
      <c r="I224" s="34" t="n"/>
      <c r="J224" s="35" t="n"/>
    </row>
    <row r="225">
      <c r="A225" s="34" t="n"/>
      <c r="B225" s="35" t="n"/>
      <c r="C225" s="35" t="n"/>
      <c r="D225" s="35" t="n"/>
      <c r="E225" s="35" t="n"/>
      <c r="F225" s="35" t="n"/>
      <c r="G225" s="36" t="n"/>
      <c r="H225" s="36" t="n"/>
      <c r="I225" s="34" t="n"/>
      <c r="J225" s="35" t="n"/>
    </row>
    <row r="226">
      <c r="A226" s="34" t="n"/>
      <c r="B226" s="35" t="n"/>
      <c r="C226" s="35" t="n"/>
      <c r="D226" s="35" t="n"/>
      <c r="E226" s="35" t="n"/>
      <c r="F226" s="35" t="n"/>
      <c r="G226" s="36" t="n"/>
      <c r="H226" s="36" t="n"/>
      <c r="I226" s="34" t="n"/>
      <c r="J226" s="35" t="n"/>
    </row>
    <row r="227">
      <c r="A227" s="34" t="n"/>
      <c r="B227" s="35" t="n"/>
      <c r="C227" s="35" t="n"/>
      <c r="D227" s="35" t="n"/>
      <c r="E227" s="35" t="n"/>
      <c r="F227" s="35" t="n"/>
      <c r="G227" s="36" t="n"/>
      <c r="H227" s="36" t="n"/>
      <c r="I227" s="34" t="n"/>
      <c r="J227" s="35" t="n"/>
    </row>
    <row r="228">
      <c r="A228" s="34" t="n"/>
      <c r="B228" s="35" t="n"/>
      <c r="C228" s="35" t="n"/>
      <c r="D228" s="35" t="n"/>
      <c r="E228" s="35" t="n"/>
      <c r="F228" s="35" t="n"/>
      <c r="G228" s="36" t="n"/>
      <c r="H228" s="36" t="n"/>
      <c r="I228" s="34" t="n"/>
      <c r="J228" s="35" t="n"/>
    </row>
    <row r="229">
      <c r="A229" s="34" t="n"/>
      <c r="B229" s="35" t="n"/>
      <c r="C229" s="35" t="n"/>
      <c r="D229" s="35" t="n"/>
      <c r="E229" s="35" t="n"/>
      <c r="F229" s="35" t="n"/>
      <c r="G229" s="36" t="n"/>
      <c r="H229" s="36" t="n"/>
      <c r="I229" s="34" t="n"/>
      <c r="J229" s="35" t="n"/>
    </row>
    <row r="230">
      <c r="A230" s="34" t="n"/>
      <c r="B230" s="35" t="n"/>
      <c r="C230" s="35" t="n"/>
      <c r="D230" s="35" t="n"/>
      <c r="E230" s="35" t="n"/>
      <c r="F230" s="35" t="n"/>
      <c r="G230" s="36" t="n"/>
      <c r="H230" s="36" t="n"/>
      <c r="I230" s="34" t="n"/>
      <c r="J230" s="35" t="n"/>
    </row>
    <row r="231">
      <c r="A231" s="34" t="n"/>
      <c r="B231" s="35" t="n"/>
      <c r="C231" s="35" t="n"/>
      <c r="D231" s="35" t="n"/>
      <c r="E231" s="35" t="n"/>
      <c r="F231" s="35" t="n"/>
      <c r="G231" s="36" t="n"/>
      <c r="H231" s="36" t="n"/>
      <c r="I231" s="34" t="n"/>
      <c r="J231" s="35" t="n"/>
    </row>
    <row r="232">
      <c r="A232" s="34" t="n"/>
      <c r="B232" s="35" t="n"/>
      <c r="C232" s="35" t="n"/>
      <c r="D232" s="35" t="n"/>
      <c r="E232" s="35" t="n"/>
      <c r="F232" s="35" t="n"/>
      <c r="G232" s="36" t="n"/>
      <c r="H232" s="36" t="n"/>
      <c r="I232" s="34" t="n"/>
      <c r="J232" s="35" t="n"/>
    </row>
    <row r="233">
      <c r="A233" s="34" t="n"/>
      <c r="B233" s="35" t="n"/>
      <c r="C233" s="35" t="n"/>
      <c r="D233" s="35" t="n"/>
      <c r="E233" s="35" t="n"/>
      <c r="F233" s="35" t="n"/>
      <c r="G233" s="36" t="n"/>
      <c r="H233" s="36" t="n"/>
      <c r="I233" s="34" t="n"/>
      <c r="J233" s="35" t="n"/>
    </row>
    <row r="234">
      <c r="A234" s="34" t="n"/>
      <c r="B234" s="35" t="n"/>
      <c r="C234" s="35" t="n"/>
      <c r="D234" s="35" t="n"/>
      <c r="E234" s="35" t="n"/>
      <c r="F234" s="35" t="n"/>
      <c r="G234" s="36" t="n"/>
      <c r="H234" s="36" t="n"/>
      <c r="I234" s="34" t="n"/>
      <c r="J234" s="35" t="n"/>
    </row>
    <row r="235">
      <c r="A235" s="34" t="n"/>
      <c r="B235" s="35" t="n"/>
      <c r="C235" s="35" t="n"/>
      <c r="D235" s="35" t="n"/>
      <c r="E235" s="35" t="n"/>
      <c r="F235" s="35" t="n"/>
      <c r="G235" s="36" t="n"/>
      <c r="H235" s="36" t="n"/>
      <c r="I235" s="34" t="n"/>
      <c r="J235" s="35" t="n"/>
    </row>
    <row r="236">
      <c r="A236" s="34" t="n"/>
      <c r="B236" s="35" t="n"/>
      <c r="C236" s="35" t="n"/>
      <c r="D236" s="35" t="n"/>
      <c r="E236" s="35" t="n"/>
      <c r="F236" s="35" t="n"/>
      <c r="G236" s="36" t="n"/>
      <c r="H236" s="36" t="n"/>
      <c r="I236" s="34" t="n"/>
      <c r="J236" s="35" t="n"/>
    </row>
    <row r="237">
      <c r="A237" s="34" t="n"/>
      <c r="B237" s="35" t="n"/>
      <c r="C237" s="35" t="n"/>
      <c r="D237" s="35" t="n"/>
      <c r="E237" s="35" t="n"/>
      <c r="F237" s="35" t="n"/>
      <c r="G237" s="36" t="n"/>
      <c r="H237" s="36" t="n"/>
      <c r="I237" s="34" t="n"/>
      <c r="J237" s="35" t="n"/>
    </row>
    <row r="238">
      <c r="A238" s="34" t="n"/>
      <c r="B238" s="35" t="n"/>
      <c r="C238" s="35" t="n"/>
      <c r="D238" s="35" t="n"/>
      <c r="E238" s="35" t="n"/>
      <c r="F238" s="35" t="n"/>
      <c r="G238" s="36" t="n"/>
      <c r="H238" s="36" t="n"/>
      <c r="I238" s="34" t="n"/>
      <c r="J238" s="35" t="n"/>
    </row>
    <row r="239">
      <c r="A239" s="34" t="n"/>
      <c r="B239" s="35" t="n"/>
      <c r="C239" s="35" t="n"/>
      <c r="D239" s="35" t="n"/>
      <c r="E239" s="35" t="n"/>
      <c r="F239" s="35" t="n"/>
      <c r="G239" s="36" t="n"/>
      <c r="H239" s="36" t="n"/>
      <c r="I239" s="34" t="n"/>
      <c r="J239" s="35" t="n"/>
    </row>
    <row r="240">
      <c r="A240" s="34" t="n"/>
      <c r="B240" s="35" t="n"/>
      <c r="C240" s="35" t="n"/>
      <c r="D240" s="35" t="n"/>
      <c r="E240" s="35" t="n"/>
      <c r="F240" s="35" t="n"/>
      <c r="G240" s="36" t="n"/>
      <c r="H240" s="36" t="n"/>
      <c r="I240" s="34" t="n"/>
      <c r="J240" s="35" t="n"/>
    </row>
    <row r="241">
      <c r="A241" s="34" t="n"/>
      <c r="B241" s="35" t="n"/>
      <c r="C241" s="35" t="n"/>
      <c r="D241" s="35" t="n"/>
      <c r="E241" s="35" t="n"/>
      <c r="F241" s="35" t="n"/>
      <c r="G241" s="36" t="n"/>
      <c r="H241" s="36" t="n"/>
      <c r="I241" s="34" t="n"/>
      <c r="J241" s="35" t="n"/>
    </row>
    <row r="242">
      <c r="A242" s="34" t="n"/>
      <c r="B242" s="35" t="n"/>
      <c r="C242" s="35" t="n"/>
      <c r="D242" s="35" t="n"/>
      <c r="E242" s="35" t="n"/>
      <c r="F242" s="35" t="n"/>
      <c r="G242" s="36" t="n"/>
      <c r="H242" s="36" t="n"/>
      <c r="I242" s="34" t="n"/>
      <c r="J242" s="35" t="n"/>
    </row>
    <row r="243">
      <c r="A243" s="34" t="n"/>
      <c r="B243" s="35" t="n"/>
      <c r="C243" s="35" t="n"/>
      <c r="D243" s="35" t="n"/>
      <c r="E243" s="35" t="n"/>
      <c r="F243" s="35" t="n"/>
      <c r="G243" s="36" t="n"/>
      <c r="H243" s="36" t="n"/>
      <c r="I243" s="34" t="n"/>
      <c r="J243" s="35" t="n"/>
    </row>
    <row r="244">
      <c r="A244" s="34" t="n"/>
      <c r="B244" s="35" t="n"/>
      <c r="C244" s="35" t="n"/>
      <c r="D244" s="35" t="n"/>
      <c r="E244" s="35" t="n"/>
      <c r="F244" s="35" t="n"/>
      <c r="G244" s="36" t="n"/>
      <c r="H244" s="36" t="n"/>
      <c r="I244" s="34" t="n"/>
      <c r="J244" s="35" t="n"/>
    </row>
    <row r="245">
      <c r="A245" s="34" t="n"/>
      <c r="B245" s="35" t="n"/>
      <c r="C245" s="35" t="n"/>
      <c r="D245" s="35" t="n"/>
      <c r="E245" s="35" t="n"/>
      <c r="F245" s="35" t="n"/>
      <c r="G245" s="36" t="n"/>
      <c r="H245" s="36" t="n"/>
      <c r="I245" s="34" t="n"/>
      <c r="J245" s="35" t="n"/>
    </row>
    <row r="246">
      <c r="A246" s="34" t="n"/>
      <c r="B246" s="35" t="n"/>
      <c r="C246" s="35" t="n"/>
      <c r="D246" s="35" t="n"/>
      <c r="E246" s="35" t="n"/>
      <c r="F246" s="35" t="n"/>
      <c r="G246" s="36" t="n"/>
      <c r="H246" s="36" t="n"/>
      <c r="I246" s="34" t="n"/>
      <c r="J246" s="35" t="n"/>
    </row>
    <row r="247">
      <c r="A247" s="34" t="n"/>
      <c r="B247" s="35" t="n"/>
      <c r="C247" s="35" t="n"/>
      <c r="D247" s="35" t="n"/>
      <c r="E247" s="35" t="n"/>
      <c r="F247" s="35" t="n"/>
      <c r="G247" s="36" t="n"/>
      <c r="H247" s="36" t="n"/>
      <c r="I247" s="34" t="n"/>
      <c r="J247" s="35" t="n"/>
    </row>
    <row r="248">
      <c r="A248" s="34" t="n"/>
      <c r="B248" s="35" t="n"/>
      <c r="C248" s="35" t="n"/>
      <c r="D248" s="35" t="n"/>
      <c r="E248" s="35" t="n"/>
      <c r="F248" s="35" t="n"/>
      <c r="G248" s="36" t="n"/>
      <c r="H248" s="36" t="n"/>
      <c r="I248" s="34" t="n"/>
      <c r="J248" s="35" t="n"/>
    </row>
    <row r="249">
      <c r="A249" s="34" t="n"/>
      <c r="B249" s="35" t="n"/>
      <c r="C249" s="35" t="n"/>
      <c r="D249" s="35" t="n"/>
      <c r="E249" s="35" t="n"/>
      <c r="F249" s="35" t="n"/>
      <c r="G249" s="36" t="n"/>
      <c r="H249" s="36" t="n"/>
      <c r="I249" s="34" t="n"/>
      <c r="J249" s="35" t="n"/>
    </row>
    <row r="250">
      <c r="A250" s="34" t="n"/>
      <c r="B250" s="35" t="n"/>
      <c r="C250" s="35" t="n"/>
      <c r="D250" s="35" t="n"/>
      <c r="E250" s="35" t="n"/>
      <c r="F250" s="35" t="n"/>
      <c r="G250" s="36" t="n"/>
      <c r="H250" s="36" t="n"/>
      <c r="I250" s="34" t="n"/>
      <c r="J250" s="35" t="n"/>
    </row>
    <row r="251">
      <c r="A251" s="34" t="n"/>
      <c r="B251" s="35" t="n"/>
      <c r="C251" s="35" t="n"/>
      <c r="D251" s="35" t="n"/>
      <c r="E251" s="35" t="n"/>
      <c r="F251" s="35" t="n"/>
      <c r="G251" s="36" t="n"/>
      <c r="H251" s="36" t="n"/>
      <c r="I251" s="34" t="n"/>
      <c r="J251" s="35" t="n"/>
    </row>
    <row r="252">
      <c r="A252" s="34" t="n"/>
      <c r="B252" s="35" t="n"/>
      <c r="C252" s="35" t="n"/>
      <c r="D252" s="35" t="n"/>
      <c r="E252" s="35" t="n"/>
      <c r="F252" s="35" t="n"/>
      <c r="G252" s="36" t="n"/>
      <c r="H252" s="36" t="n"/>
      <c r="I252" s="34" t="n"/>
      <c r="J252" s="35" t="n"/>
    </row>
    <row r="253">
      <c r="A253" s="34" t="n"/>
      <c r="B253" s="35" t="n"/>
      <c r="C253" s="35" t="n"/>
      <c r="D253" s="35" t="n"/>
      <c r="E253" s="35" t="n"/>
      <c r="F253" s="35" t="n"/>
      <c r="G253" s="36" t="n"/>
      <c r="H253" s="36" t="n"/>
      <c r="I253" s="34" t="n"/>
      <c r="J253" s="35" t="n"/>
    </row>
    <row r="254">
      <c r="A254" s="34" t="n"/>
      <c r="B254" s="35" t="n"/>
      <c r="C254" s="35" t="n"/>
      <c r="D254" s="35" t="n"/>
      <c r="E254" s="35" t="n"/>
      <c r="F254" s="35" t="n"/>
      <c r="G254" s="36" t="n"/>
      <c r="H254" s="36" t="n"/>
      <c r="I254" s="34" t="n"/>
      <c r="J254" s="35" t="n"/>
    </row>
    <row r="255">
      <c r="A255" s="34" t="n"/>
      <c r="B255" s="35" t="n"/>
      <c r="C255" s="35" t="n"/>
      <c r="D255" s="35" t="n"/>
      <c r="E255" s="35" t="n"/>
      <c r="F255" s="35" t="n"/>
      <c r="G255" s="36" t="n"/>
      <c r="H255" s="36" t="n"/>
      <c r="I255" s="34" t="n"/>
      <c r="J255" s="35" t="n"/>
    </row>
    <row r="256">
      <c r="A256" s="34" t="n"/>
      <c r="B256" s="35" t="n"/>
      <c r="C256" s="35" t="n"/>
      <c r="D256" s="35" t="n"/>
      <c r="E256" s="35" t="n"/>
      <c r="F256" s="35" t="n"/>
      <c r="G256" s="36" t="n"/>
      <c r="H256" s="36" t="n"/>
      <c r="I256" s="34" t="n"/>
      <c r="J256" s="35" t="n"/>
    </row>
    <row r="257">
      <c r="A257" s="34" t="n"/>
      <c r="B257" s="35" t="n"/>
      <c r="C257" s="35" t="n"/>
      <c r="D257" s="35" t="n"/>
      <c r="E257" s="35" t="n"/>
      <c r="F257" s="35" t="n"/>
      <c r="G257" s="36" t="n"/>
      <c r="H257" s="36" t="n"/>
      <c r="I257" s="34" t="n"/>
      <c r="J257" s="35" t="n"/>
    </row>
    <row r="258">
      <c r="A258" s="34" t="n"/>
      <c r="B258" s="35" t="n"/>
      <c r="C258" s="35" t="n"/>
      <c r="D258" s="35" t="n"/>
      <c r="E258" s="35" t="n"/>
      <c r="F258" s="35" t="n"/>
      <c r="G258" s="36" t="n"/>
      <c r="H258" s="36" t="n"/>
      <c r="I258" s="34" t="n"/>
      <c r="J258" s="35" t="n"/>
    </row>
    <row r="259">
      <c r="A259" s="34" t="n"/>
      <c r="B259" s="35" t="n"/>
      <c r="C259" s="35" t="n"/>
      <c r="D259" s="35" t="n"/>
      <c r="E259" s="35" t="n"/>
      <c r="F259" s="35" t="n"/>
      <c r="G259" s="36" t="n"/>
      <c r="H259" s="36" t="n"/>
      <c r="I259" s="34" t="n"/>
      <c r="J259" s="35" t="n"/>
    </row>
    <row r="260">
      <c r="A260" s="34" t="n"/>
      <c r="B260" s="35" t="n"/>
      <c r="C260" s="35" t="n"/>
      <c r="D260" s="35" t="n"/>
      <c r="E260" s="35" t="n"/>
      <c r="F260" s="35" t="n"/>
      <c r="G260" s="36" t="n"/>
      <c r="H260" s="36" t="n"/>
      <c r="I260" s="34" t="n"/>
      <c r="J260" s="35" t="n"/>
    </row>
    <row r="261">
      <c r="A261" s="34" t="n"/>
      <c r="B261" s="35" t="n"/>
      <c r="C261" s="35" t="n"/>
      <c r="D261" s="35" t="n"/>
      <c r="E261" s="35" t="n"/>
      <c r="F261" s="35" t="n"/>
      <c r="G261" s="36" t="n"/>
      <c r="H261" s="36" t="n"/>
      <c r="I261" s="34" t="n"/>
      <c r="J261" s="35" t="n"/>
    </row>
    <row r="262">
      <c r="A262" s="34" t="n"/>
      <c r="B262" s="35" t="n"/>
      <c r="C262" s="35" t="n"/>
      <c r="D262" s="35" t="n"/>
      <c r="E262" s="35" t="n"/>
      <c r="F262" s="35" t="n"/>
      <c r="G262" s="36" t="n"/>
      <c r="H262" s="36" t="n"/>
      <c r="I262" s="34" t="n"/>
      <c r="J262" s="35" t="n"/>
    </row>
    <row r="263">
      <c r="A263" s="34" t="n"/>
      <c r="B263" s="35" t="n"/>
      <c r="C263" s="35" t="n"/>
      <c r="D263" s="35" t="n"/>
      <c r="E263" s="35" t="n"/>
      <c r="F263" s="35" t="n"/>
      <c r="G263" s="36" t="n"/>
      <c r="H263" s="36" t="n"/>
      <c r="I263" s="34" t="n"/>
      <c r="J263" s="35" t="n"/>
    </row>
    <row r="264">
      <c r="A264" s="34" t="n"/>
      <c r="B264" s="35" t="n"/>
      <c r="C264" s="35" t="n"/>
      <c r="D264" s="35" t="n"/>
      <c r="E264" s="35" t="n"/>
      <c r="F264" s="35" t="n"/>
      <c r="G264" s="36" t="n"/>
      <c r="H264" s="36" t="n"/>
      <c r="I264" s="34" t="n"/>
      <c r="J264" s="35" t="n"/>
    </row>
    <row r="265">
      <c r="A265" s="34" t="n"/>
      <c r="B265" s="35" t="n"/>
      <c r="C265" s="35" t="n"/>
      <c r="D265" s="35" t="n"/>
      <c r="E265" s="35" t="n"/>
      <c r="F265" s="35" t="n"/>
      <c r="G265" s="36" t="n"/>
      <c r="H265" s="36" t="n"/>
      <c r="I265" s="34" t="n"/>
      <c r="J265" s="35" t="n"/>
    </row>
    <row r="266">
      <c r="A266" s="34" t="n"/>
      <c r="B266" s="35" t="n"/>
      <c r="C266" s="35" t="n"/>
      <c r="D266" s="35" t="n"/>
      <c r="E266" s="35" t="n"/>
      <c r="F266" s="35" t="n"/>
      <c r="G266" s="36" t="n"/>
      <c r="H266" s="36" t="n"/>
      <c r="I266" s="34" t="n"/>
      <c r="J266" s="35" t="n"/>
    </row>
    <row r="267">
      <c r="A267" s="34" t="n"/>
      <c r="B267" s="35" t="n"/>
      <c r="C267" s="35" t="n"/>
      <c r="D267" s="35" t="n"/>
      <c r="E267" s="35" t="n"/>
      <c r="F267" s="35" t="n"/>
      <c r="G267" s="36" t="n"/>
      <c r="H267" s="36" t="n"/>
      <c r="I267" s="34" t="n"/>
      <c r="J267" s="35" t="n"/>
    </row>
    <row r="268">
      <c r="A268" s="34" t="n"/>
      <c r="B268" s="35" t="n"/>
      <c r="C268" s="35" t="n"/>
      <c r="D268" s="35" t="n"/>
      <c r="E268" s="35" t="n"/>
      <c r="F268" s="35" t="n"/>
      <c r="G268" s="36" t="n"/>
      <c r="H268" s="36" t="n"/>
      <c r="I268" s="34" t="n"/>
      <c r="J268" s="35" t="n"/>
    </row>
    <row r="269">
      <c r="A269" s="34" t="n"/>
      <c r="B269" s="35" t="n"/>
      <c r="C269" s="35" t="n"/>
      <c r="D269" s="35" t="n"/>
      <c r="E269" s="35" t="n"/>
      <c r="F269" s="35" t="n"/>
      <c r="G269" s="36" t="n"/>
      <c r="H269" s="36" t="n"/>
      <c r="I269" s="34" t="n"/>
      <c r="J269" s="35" t="n"/>
    </row>
    <row r="270">
      <c r="A270" s="34" t="n"/>
      <c r="B270" s="35" t="n"/>
      <c r="C270" s="35" t="n"/>
      <c r="D270" s="35" t="n"/>
      <c r="E270" s="35" t="n"/>
      <c r="F270" s="35" t="n"/>
      <c r="G270" s="36" t="n"/>
      <c r="H270" s="36" t="n"/>
      <c r="I270" s="34" t="n"/>
      <c r="J270" s="35" t="n"/>
    </row>
    <row r="271">
      <c r="A271" s="34" t="n"/>
      <c r="B271" s="35" t="n"/>
      <c r="C271" s="35" t="n"/>
      <c r="D271" s="35" t="n"/>
      <c r="E271" s="35" t="n"/>
      <c r="F271" s="35" t="n"/>
      <c r="G271" s="36" t="n"/>
      <c r="H271" s="36" t="n"/>
      <c r="I271" s="34" t="n"/>
      <c r="J271" s="35" t="n"/>
    </row>
    <row r="272">
      <c r="A272" s="34" t="n"/>
      <c r="B272" s="35" t="n"/>
      <c r="C272" s="35" t="n"/>
      <c r="D272" s="35" t="n"/>
      <c r="E272" s="35" t="n"/>
      <c r="F272" s="35" t="n"/>
      <c r="G272" s="36" t="n"/>
      <c r="H272" s="36" t="n"/>
      <c r="I272" s="34" t="n"/>
      <c r="J272" s="35" t="n"/>
    </row>
    <row r="273">
      <c r="A273" s="34" t="n"/>
      <c r="B273" s="35" t="n"/>
      <c r="C273" s="35" t="n"/>
      <c r="D273" s="35" t="n"/>
      <c r="E273" s="35" t="n"/>
      <c r="F273" s="35" t="n"/>
      <c r="G273" s="36" t="n"/>
      <c r="H273" s="36" t="n"/>
      <c r="I273" s="34" t="n"/>
      <c r="J273" s="35" t="n"/>
    </row>
    <row r="274">
      <c r="A274" s="34" t="n"/>
      <c r="B274" s="35" t="n"/>
      <c r="C274" s="35" t="n"/>
      <c r="D274" s="35" t="n"/>
      <c r="E274" s="35" t="n"/>
      <c r="F274" s="35" t="n"/>
      <c r="G274" s="36" t="n"/>
      <c r="H274" s="36" t="n"/>
      <c r="I274" s="34" t="n"/>
      <c r="J274" s="35" t="n"/>
    </row>
    <row r="275">
      <c r="A275" s="34" t="n"/>
      <c r="B275" s="35" t="n"/>
      <c r="C275" s="35" t="n"/>
      <c r="D275" s="35" t="n"/>
      <c r="E275" s="35" t="n"/>
      <c r="F275" s="35" t="n"/>
      <c r="G275" s="36" t="n"/>
      <c r="H275" s="36" t="n"/>
      <c r="I275" s="34" t="n"/>
      <c r="J275" s="35" t="n"/>
    </row>
    <row r="276">
      <c r="A276" s="34" t="n"/>
      <c r="B276" s="35" t="n"/>
      <c r="C276" s="35" t="n"/>
      <c r="D276" s="35" t="n"/>
      <c r="E276" s="35" t="n"/>
      <c r="F276" s="35" t="n"/>
      <c r="G276" s="36" t="n"/>
      <c r="H276" s="36" t="n"/>
      <c r="I276" s="34" t="n"/>
      <c r="J276" s="35" t="n"/>
    </row>
    <row r="277">
      <c r="A277" s="34" t="n"/>
      <c r="B277" s="35" t="n"/>
      <c r="C277" s="35" t="n"/>
      <c r="D277" s="35" t="n"/>
      <c r="E277" s="35" t="n"/>
      <c r="F277" s="35" t="n"/>
      <c r="G277" s="36" t="n"/>
      <c r="H277" s="36" t="n"/>
      <c r="I277" s="34" t="n"/>
      <c r="J277" s="35" t="n"/>
    </row>
    <row r="278">
      <c r="A278" s="34" t="n"/>
      <c r="B278" s="35" t="n"/>
      <c r="C278" s="35" t="n"/>
      <c r="D278" s="35" t="n"/>
      <c r="E278" s="35" t="n"/>
      <c r="F278" s="35" t="n"/>
      <c r="G278" s="36" t="n"/>
      <c r="H278" s="36" t="n"/>
      <c r="I278" s="34" t="n"/>
      <c r="J278" s="35" t="n"/>
    </row>
    <row r="279">
      <c r="A279" s="34" t="n"/>
      <c r="B279" s="35" t="n"/>
      <c r="C279" s="35" t="n"/>
      <c r="D279" s="35" t="n"/>
      <c r="E279" s="35" t="n"/>
      <c r="F279" s="35" t="n"/>
      <c r="G279" s="36" t="n"/>
      <c r="H279" s="36" t="n"/>
      <c r="I279" s="34" t="n"/>
      <c r="J279" s="35" t="n"/>
    </row>
    <row r="280">
      <c r="A280" s="34" t="n"/>
      <c r="B280" s="35" t="n"/>
      <c r="C280" s="35" t="n"/>
      <c r="D280" s="35" t="n"/>
      <c r="E280" s="35" t="n"/>
      <c r="F280" s="35" t="n"/>
      <c r="G280" s="36" t="n"/>
      <c r="H280" s="36" t="n"/>
      <c r="I280" s="34" t="n"/>
      <c r="J280" s="35" t="n"/>
    </row>
    <row r="281">
      <c r="A281" s="34" t="n"/>
      <c r="B281" s="35" t="n"/>
      <c r="C281" s="35" t="n"/>
      <c r="D281" s="35" t="n"/>
      <c r="E281" s="35" t="n"/>
      <c r="F281" s="35" t="n"/>
      <c r="G281" s="36" t="n"/>
      <c r="H281" s="36" t="n"/>
      <c r="I281" s="34" t="n"/>
      <c r="J281" s="35" t="n"/>
    </row>
    <row r="282">
      <c r="A282" s="34" t="n"/>
      <c r="B282" s="35" t="n"/>
      <c r="C282" s="35" t="n"/>
      <c r="D282" s="35" t="n"/>
      <c r="E282" s="35" t="n"/>
      <c r="F282" s="35" t="n"/>
      <c r="G282" s="36" t="n"/>
      <c r="H282" s="36" t="n"/>
      <c r="I282" s="34" t="n"/>
      <c r="J282" s="35" t="n"/>
    </row>
    <row r="283">
      <c r="A283" s="34" t="n"/>
      <c r="B283" s="35" t="n"/>
      <c r="C283" s="35" t="n"/>
      <c r="D283" s="35" t="n"/>
      <c r="E283" s="35" t="n"/>
      <c r="F283" s="35" t="n"/>
      <c r="G283" s="36" t="n"/>
      <c r="H283" s="36" t="n"/>
      <c r="I283" s="34" t="n"/>
      <c r="J283" s="35" t="n"/>
    </row>
    <row r="284">
      <c r="A284" s="34" t="n"/>
      <c r="B284" s="35" t="n"/>
      <c r="C284" s="35" t="n"/>
      <c r="D284" s="35" t="n"/>
      <c r="E284" s="35" t="n"/>
      <c r="F284" s="35" t="n"/>
      <c r="G284" s="36" t="n"/>
      <c r="H284" s="36" t="n"/>
      <c r="I284" s="34" t="n"/>
      <c r="J284" s="35" t="n"/>
    </row>
    <row r="285">
      <c r="A285" s="34" t="n"/>
      <c r="B285" s="35" t="n"/>
      <c r="C285" s="35" t="n"/>
      <c r="D285" s="35" t="n"/>
      <c r="E285" s="35" t="n"/>
      <c r="F285" s="35" t="n"/>
      <c r="G285" s="36" t="n"/>
      <c r="H285" s="36" t="n"/>
      <c r="I285" s="34" t="n"/>
      <c r="J285" s="35" t="n"/>
    </row>
    <row r="286">
      <c r="A286" s="34" t="n"/>
      <c r="B286" s="35" t="n"/>
      <c r="C286" s="35" t="n"/>
      <c r="D286" s="35" t="n"/>
      <c r="E286" s="35" t="n"/>
      <c r="F286" s="35" t="n"/>
      <c r="G286" s="36" t="n"/>
      <c r="H286" s="36" t="n"/>
      <c r="I286" s="34" t="n"/>
      <c r="J286" s="35" t="n"/>
    </row>
    <row r="287">
      <c r="A287" s="34" t="n"/>
      <c r="B287" s="35" t="n"/>
      <c r="C287" s="35" t="n"/>
      <c r="D287" s="35" t="n"/>
      <c r="E287" s="35" t="n"/>
      <c r="F287" s="35" t="n"/>
      <c r="G287" s="36" t="n"/>
      <c r="H287" s="36" t="n"/>
      <c r="I287" s="34" t="n"/>
      <c r="J287" s="35" t="n"/>
    </row>
    <row r="288">
      <c r="A288" s="34" t="n"/>
      <c r="B288" s="35" t="n"/>
      <c r="C288" s="35" t="n"/>
      <c r="D288" s="35" t="n"/>
      <c r="E288" s="35" t="n"/>
      <c r="F288" s="35" t="n"/>
      <c r="G288" s="36" t="n"/>
      <c r="H288" s="36" t="n"/>
      <c r="I288" s="34" t="n"/>
      <c r="J288" s="35" t="n"/>
    </row>
    <row r="289">
      <c r="A289" s="34" t="n"/>
      <c r="B289" s="35" t="n"/>
      <c r="C289" s="35" t="n"/>
      <c r="D289" s="35" t="n"/>
      <c r="E289" s="35" t="n"/>
      <c r="F289" s="35" t="n"/>
      <c r="G289" s="36" t="n"/>
      <c r="H289" s="36" t="n"/>
      <c r="I289" s="34" t="n"/>
      <c r="J289" s="35" t="n"/>
    </row>
    <row r="290">
      <c r="A290" s="34" t="n"/>
      <c r="B290" s="35" t="n"/>
      <c r="C290" s="35" t="n"/>
      <c r="D290" s="35" t="n"/>
      <c r="E290" s="35" t="n"/>
      <c r="F290" s="35" t="n"/>
      <c r="G290" s="36" t="n"/>
      <c r="H290" s="36" t="n"/>
      <c r="I290" s="34" t="n"/>
      <c r="J290" s="35" t="n"/>
    </row>
    <row r="291">
      <c r="A291" s="34" t="n"/>
      <c r="B291" s="35" t="n"/>
      <c r="C291" s="35" t="n"/>
      <c r="D291" s="35" t="n"/>
      <c r="E291" s="35" t="n"/>
      <c r="F291" s="35" t="n"/>
      <c r="G291" s="36" t="n"/>
      <c r="H291" s="36" t="n"/>
      <c r="I291" s="34" t="n"/>
      <c r="J291" s="35" t="n"/>
    </row>
    <row r="292">
      <c r="A292" s="34" t="n"/>
      <c r="B292" s="35" t="n"/>
      <c r="C292" s="35" t="n"/>
      <c r="D292" s="35" t="n"/>
      <c r="E292" s="35" t="n"/>
      <c r="F292" s="35" t="n"/>
      <c r="G292" s="36" t="n"/>
      <c r="H292" s="36" t="n"/>
      <c r="I292" s="34" t="n"/>
      <c r="J292" s="35" t="n"/>
    </row>
    <row r="293">
      <c r="A293" s="34" t="n"/>
      <c r="B293" s="35" t="n"/>
      <c r="C293" s="35" t="n"/>
      <c r="D293" s="35" t="n"/>
      <c r="E293" s="35" t="n"/>
      <c r="F293" s="35" t="n"/>
      <c r="G293" s="36" t="n"/>
      <c r="H293" s="36" t="n"/>
      <c r="I293" s="34" t="n"/>
      <c r="J293" s="35" t="n"/>
    </row>
    <row r="294">
      <c r="A294" s="34" t="n"/>
      <c r="B294" s="35" t="n"/>
      <c r="C294" s="35" t="n"/>
      <c r="D294" s="35" t="n"/>
      <c r="E294" s="35" t="n"/>
      <c r="F294" s="35" t="n"/>
      <c r="G294" s="36" t="n"/>
      <c r="H294" s="36" t="n"/>
      <c r="I294" s="34" t="n"/>
      <c r="J294" s="35" t="n"/>
    </row>
    <row r="295">
      <c r="A295" s="34" t="n"/>
      <c r="B295" s="35" t="n"/>
      <c r="C295" s="35" t="n"/>
      <c r="D295" s="35" t="n"/>
      <c r="E295" s="35" t="n"/>
      <c r="F295" s="35" t="n"/>
      <c r="G295" s="36" t="n"/>
      <c r="H295" s="36" t="n"/>
      <c r="I295" s="34" t="n"/>
      <c r="J295" s="35" t="n"/>
    </row>
    <row r="296">
      <c r="A296" s="34" t="n"/>
      <c r="B296" s="35" t="n"/>
      <c r="C296" s="35" t="n"/>
      <c r="D296" s="35" t="n"/>
      <c r="E296" s="35" t="n"/>
      <c r="F296" s="35" t="n"/>
      <c r="G296" s="36" t="n"/>
      <c r="H296" s="36" t="n"/>
      <c r="I296" s="34" t="n"/>
      <c r="J296" s="35" t="n"/>
    </row>
    <row r="297">
      <c r="A297" s="34" t="n"/>
      <c r="B297" s="35" t="n"/>
      <c r="C297" s="35" t="n"/>
      <c r="D297" s="35" t="n"/>
      <c r="E297" s="35" t="n"/>
      <c r="F297" s="35" t="n"/>
      <c r="G297" s="36" t="n"/>
      <c r="H297" s="36" t="n"/>
      <c r="I297" s="34" t="n"/>
      <c r="J297" s="35" t="n"/>
    </row>
    <row r="298">
      <c r="A298" s="34" t="n"/>
      <c r="B298" s="35" t="n"/>
      <c r="C298" s="35" t="n"/>
      <c r="D298" s="35" t="n"/>
      <c r="E298" s="35" t="n"/>
      <c r="F298" s="35" t="n"/>
      <c r="G298" s="36" t="n"/>
      <c r="H298" s="36" t="n"/>
      <c r="I298" s="34" t="n"/>
      <c r="J298" s="35" t="n"/>
    </row>
    <row r="299">
      <c r="A299" s="34" t="n"/>
      <c r="B299" s="35" t="n"/>
      <c r="C299" s="35" t="n"/>
      <c r="D299" s="35" t="n"/>
      <c r="E299" s="35" t="n"/>
      <c r="F299" s="35" t="n"/>
      <c r="G299" s="36" t="n"/>
      <c r="H299" s="36" t="n"/>
      <c r="I299" s="34" t="n"/>
      <c r="J299" s="35" t="n"/>
    </row>
    <row r="300">
      <c r="A300" s="34" t="n"/>
      <c r="B300" s="35" t="n"/>
      <c r="C300" s="35" t="n"/>
      <c r="D300" s="35" t="n"/>
      <c r="E300" s="35" t="n"/>
      <c r="F300" s="35" t="n"/>
      <c r="G300" s="36" t="n"/>
      <c r="H300" s="36" t="n"/>
      <c r="I300" s="34" t="n"/>
      <c r="J300" s="35" t="n"/>
    </row>
    <row r="301">
      <c r="A301" s="34" t="n"/>
      <c r="B301" s="35" t="n"/>
      <c r="C301" s="35" t="n"/>
      <c r="D301" s="35" t="n"/>
      <c r="E301" s="35" t="n"/>
      <c r="F301" s="35" t="n"/>
      <c r="G301" s="36" t="n"/>
      <c r="H301" s="36" t="n"/>
      <c r="I301" s="34" t="n"/>
      <c r="J301" s="35" t="n"/>
    </row>
    <row r="302">
      <c r="A302" s="34" t="n"/>
      <c r="B302" s="35" t="n"/>
      <c r="C302" s="35" t="n"/>
      <c r="D302" s="35" t="n"/>
      <c r="E302" s="35" t="n"/>
      <c r="F302" s="35" t="n"/>
      <c r="G302" s="36" t="n"/>
      <c r="H302" s="36" t="n"/>
      <c r="I302" s="34" t="n"/>
      <c r="J302" s="35" t="n"/>
    </row>
    <row r="303">
      <c r="A303" s="34" t="n"/>
      <c r="B303" s="35" t="n"/>
      <c r="C303" s="35" t="n"/>
      <c r="D303" s="35" t="n"/>
      <c r="E303" s="35" t="n"/>
      <c r="F303" s="35" t="n"/>
      <c r="G303" s="36" t="n"/>
      <c r="H303" s="36" t="n"/>
      <c r="I303" s="34" t="n"/>
      <c r="J303" s="35" t="n"/>
    </row>
    <row r="304">
      <c r="A304" s="34" t="n"/>
      <c r="B304" s="35" t="n"/>
      <c r="C304" s="35" t="n"/>
      <c r="D304" s="35" t="n"/>
      <c r="E304" s="35" t="n"/>
      <c r="F304" s="35" t="n"/>
      <c r="G304" s="36" t="n"/>
      <c r="H304" s="36" t="n"/>
      <c r="I304" s="34" t="n"/>
      <c r="J304" s="35" t="n"/>
    </row>
  </sheetData>
  <conditionalFormatting sqref="F5:F304">
    <cfRule type="cellIs" priority="1" operator="equal" dxfId="1">
      <formula>"Won"</formula>
    </cfRule>
    <cfRule type="cellIs" priority="2" operator="equal" dxfId="0">
      <formula>"Lost"</formula>
    </cfRule>
    <cfRule type="cellIs" priority="3" operator="equal" dxfId="2">
      <formula>"Quote sent"</formula>
    </cfRule>
    <cfRule type="cellIs" priority="4" operator="equal" dxfId="5">
      <formula>"Mockup sent"</formula>
    </cfRule>
  </conditionalFormatting>
  <conditionalFormatting sqref="I5:I304">
    <cfRule type="expression" priority="5" dxfId="6">
      <formula>AND(I5&lt;&gt;"",I5&lt;=TODAY(),F5&lt;&gt;"Won",F5&lt;&gt;"Lost",F5&lt;&gt;"Example")</formula>
    </cfRule>
  </conditionalFormatting>
  <dataValidations count="2">
    <dataValidation sqref="F5:F304" showDropDown="0" showInputMessage="0" showErrorMessage="0" allowBlank="1" type="list">
      <formula1>"New,Contacted,Mockup sent,Quote sent,Won,Lost,Example"</formula1>
    </dataValidation>
    <dataValidation sqref="E5:E304" showDropDown="0" showInputMessage="0" showErrorMessage="0" allowBlank="1" type="list">
      <formula1>"Meta ad - WhatsApp,Meta ad - Messenger,Meta ad - Lead form,Instagram,Referral,Organic post,Other"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12" customWidth="1" min="8" max="8"/>
    <col width="10" customWidth="1" min="9" max="9"/>
    <col width="11" customWidth="1" min="10" max="10"/>
    <col width="14" customWidth="1" min="11" max="11"/>
    <col width="13" customWidth="1" min="12" max="12"/>
    <col width="13" customWidth="1" min="13" max="13"/>
    <col width="12" customWidth="1" min="14" max="14"/>
  </cols>
  <sheetData>
    <row r="1">
      <c r="A1" s="1" t="inlineStr">
        <is>
          <t>Monthly profit &amp; loss</t>
        </is>
      </c>
    </row>
    <row r="2">
      <c r="A2" s="2" t="inlineStr">
        <is>
          <t>Everything here is calculated - nothing to type. US$ unless marked TT$.</t>
        </is>
      </c>
    </row>
    <row r="4" ht="32" customHeight="1">
      <c r="A4" s="3" t="inlineStr">
        <is>
          <t>Month</t>
        </is>
      </c>
      <c r="B4" s="3" t="inlineStr">
        <is>
          <t>Ad spend</t>
        </is>
      </c>
      <c r="C4" s="3" t="inlineStr">
        <is>
          <t>Ad cap left</t>
        </is>
      </c>
      <c r="D4" s="3" t="inlineStr">
        <is>
          <t>Claude + tools</t>
        </is>
      </c>
      <c r="E4" s="3" t="inlineStr">
        <is>
          <t>Total cost</t>
        </is>
      </c>
      <c r="F4" s="3" t="inlineStr">
        <is>
          <t>Total cost (TT$)</t>
        </is>
      </c>
      <c r="G4" s="3" t="inlineStr">
        <is>
          <t>Leads</t>
        </is>
      </c>
      <c r="H4" s="3" t="inlineStr">
        <is>
          <t>Cost per lead</t>
        </is>
      </c>
      <c r="I4" s="3" t="inlineStr">
        <is>
          <t>Clients won</t>
        </is>
      </c>
      <c r="J4" s="3" t="inlineStr">
        <is>
          <t>Lead to client %</t>
        </is>
      </c>
      <c r="K4" s="3" t="inlineStr">
        <is>
          <t>Revenue (TT$)</t>
        </is>
      </c>
      <c r="L4" s="3" t="inlineStr">
        <is>
          <t>Revenue (US$)</t>
        </is>
      </c>
      <c r="M4" s="3" t="inlineStr">
        <is>
          <t>Profit (US$)</t>
        </is>
      </c>
      <c r="N4" s="3" t="inlineStr">
        <is>
          <t>Return per $1 spent</t>
        </is>
      </c>
    </row>
    <row r="5">
      <c r="A5" s="37" t="n">
        <v>46296</v>
      </c>
      <c r="B5" s="38">
        <f>SUMIFS('Daily Ads'!$B$5:$B$91,'Daily Ads'!$A$5:$A$91,"&gt;="&amp;$A5,'Daily Ads'!$A$5:$A$91,"&lt;="&amp;EOMONTH($A5,0))</f>
        <v/>
      </c>
      <c r="C5" s="38">
        <f>Settings!$B$6-B5</f>
        <v/>
      </c>
      <c r="D5" s="38">
        <f>IF($A5&lt;=TODAY(),Settings!$B$7+Settings!$B$8,0)</f>
        <v/>
      </c>
      <c r="E5" s="38">
        <f>B5+D5</f>
        <v/>
      </c>
      <c r="F5" s="39">
        <f>E5*Settings!$B$10</f>
        <v/>
      </c>
      <c r="G5" s="40">
        <f>SUMIFS('Daily Ads'!$E$5:$E$91,'Daily Ads'!$A$5:$A$91,"&gt;="&amp;$A5,'Daily Ads'!$A$5:$A$91,"&lt;="&amp;EOMONTH($A5,0))</f>
        <v/>
      </c>
      <c r="H5" s="38">
        <f>IF(G5=0,"",B5/G5)</f>
        <v/>
      </c>
      <c r="I5" s="40">
        <f>COUNTIFS(Leads!$F$5:$F$304,"Won",Leads!$A$5:$A$304,"&gt;="&amp;$A5,Leads!$A$5:$A$304,"&lt;="&amp;EOMONTH($A5,0))</f>
        <v/>
      </c>
      <c r="J5" s="41">
        <f>IF(G5=0,"",I5/G5)</f>
        <v/>
      </c>
      <c r="K5" s="39">
        <f>SUMIFS(Leads!$H$5:$H$304,Leads!$F$5:$F$304,"Won",Leads!$A$5:$A$304,"&gt;="&amp;$A5,Leads!$A$5:$A$304,"&lt;="&amp;EOMONTH($A5,0))</f>
        <v/>
      </c>
      <c r="L5" s="38">
        <f>K5/Settings!$B$10</f>
        <v/>
      </c>
      <c r="M5" s="38">
        <f>L5-E5</f>
        <v/>
      </c>
      <c r="N5" s="42">
        <f>IF(E5=0,"",L5/E5)</f>
        <v/>
      </c>
    </row>
    <row r="6">
      <c r="A6" s="37" t="n">
        <v>46327</v>
      </c>
      <c r="B6" s="38">
        <f>SUMIFS('Daily Ads'!$B$5:$B$91,'Daily Ads'!$A$5:$A$91,"&gt;="&amp;$A6,'Daily Ads'!$A$5:$A$91,"&lt;="&amp;EOMONTH($A6,0))</f>
        <v/>
      </c>
      <c r="C6" s="38">
        <f>Settings!$B$6-B6</f>
        <v/>
      </c>
      <c r="D6" s="38">
        <f>IF($A6&lt;=TODAY(),Settings!$B$7+Settings!$B$8,0)</f>
        <v/>
      </c>
      <c r="E6" s="38">
        <f>B6+D6</f>
        <v/>
      </c>
      <c r="F6" s="39">
        <f>E6*Settings!$B$10</f>
        <v/>
      </c>
      <c r="G6" s="40">
        <f>SUMIFS('Daily Ads'!$E$5:$E$91,'Daily Ads'!$A$5:$A$91,"&gt;="&amp;$A6,'Daily Ads'!$A$5:$A$91,"&lt;="&amp;EOMONTH($A6,0))</f>
        <v/>
      </c>
      <c r="H6" s="38">
        <f>IF(G6=0,"",B6/G6)</f>
        <v/>
      </c>
      <c r="I6" s="40">
        <f>COUNTIFS(Leads!$F$5:$F$304,"Won",Leads!$A$5:$A$304,"&gt;="&amp;$A6,Leads!$A$5:$A$304,"&lt;="&amp;EOMONTH($A6,0))</f>
        <v/>
      </c>
      <c r="J6" s="41">
        <f>IF(G6=0,"",I6/G6)</f>
        <v/>
      </c>
      <c r="K6" s="39">
        <f>SUMIFS(Leads!$H$5:$H$304,Leads!$F$5:$F$304,"Won",Leads!$A$5:$A$304,"&gt;="&amp;$A6,Leads!$A$5:$A$304,"&lt;="&amp;EOMONTH($A6,0))</f>
        <v/>
      </c>
      <c r="L6" s="38">
        <f>K6/Settings!$B$10</f>
        <v/>
      </c>
      <c r="M6" s="38">
        <f>L6-E6</f>
        <v/>
      </c>
      <c r="N6" s="42">
        <f>IF(E6=0,"",L6/E6)</f>
        <v/>
      </c>
    </row>
    <row r="7">
      <c r="A7" s="37" t="n">
        <v>46357</v>
      </c>
      <c r="B7" s="38">
        <f>SUMIFS('Daily Ads'!$B$5:$B$91,'Daily Ads'!$A$5:$A$91,"&gt;="&amp;$A7,'Daily Ads'!$A$5:$A$91,"&lt;="&amp;EOMONTH($A7,0))</f>
        <v/>
      </c>
      <c r="C7" s="38">
        <f>Settings!$B$6-B7</f>
        <v/>
      </c>
      <c r="D7" s="38">
        <f>IF($A7&lt;=TODAY(),Settings!$B$7+Settings!$B$8,0)</f>
        <v/>
      </c>
      <c r="E7" s="38">
        <f>B7+D7</f>
        <v/>
      </c>
      <c r="F7" s="39">
        <f>E7*Settings!$B$10</f>
        <v/>
      </c>
      <c r="G7" s="40">
        <f>SUMIFS('Daily Ads'!$E$5:$E$91,'Daily Ads'!$A$5:$A$91,"&gt;="&amp;$A7,'Daily Ads'!$A$5:$A$91,"&lt;="&amp;EOMONTH($A7,0))</f>
        <v/>
      </c>
      <c r="H7" s="38">
        <f>IF(G7=0,"",B7/G7)</f>
        <v/>
      </c>
      <c r="I7" s="40">
        <f>COUNTIFS(Leads!$F$5:$F$304,"Won",Leads!$A$5:$A$304,"&gt;="&amp;$A7,Leads!$A$5:$A$304,"&lt;="&amp;EOMONTH($A7,0))</f>
        <v/>
      </c>
      <c r="J7" s="41">
        <f>IF(G7=0,"",I7/G7)</f>
        <v/>
      </c>
      <c r="K7" s="39">
        <f>SUMIFS(Leads!$H$5:$H$304,Leads!$F$5:$F$304,"Won",Leads!$A$5:$A$304,"&gt;="&amp;$A7,Leads!$A$5:$A$304,"&lt;="&amp;EOMONTH($A7,0))</f>
        <v/>
      </c>
      <c r="L7" s="38">
        <f>K7/Settings!$B$10</f>
        <v/>
      </c>
      <c r="M7" s="38">
        <f>L7-E7</f>
        <v/>
      </c>
      <c r="N7" s="42">
        <f>IF(E7=0,"",L7/E7)</f>
        <v/>
      </c>
    </row>
    <row r="8">
      <c r="A8" s="27" t="inlineStr">
        <is>
          <t>TOTAL</t>
        </is>
      </c>
      <c r="B8" s="28">
        <f>SUM(B5:B7)</f>
        <v/>
      </c>
      <c r="C8" s="27" t="n"/>
      <c r="D8" s="28">
        <f>SUM(D5:D7)</f>
        <v/>
      </c>
      <c r="E8" s="28">
        <f>SUM(E5:E7)</f>
        <v/>
      </c>
      <c r="F8" s="43">
        <f>SUM(F5:F7)</f>
        <v/>
      </c>
      <c r="G8" s="29">
        <f>SUM(G5:G7)</f>
        <v/>
      </c>
      <c r="H8" s="28">
        <f>IF(G8=0,"",B8/G8)</f>
        <v/>
      </c>
      <c r="I8" s="29">
        <f>SUM(I5:I7)</f>
        <v/>
      </c>
      <c r="J8" s="30">
        <f>IF(G8=0,"",I8/G8)</f>
        <v/>
      </c>
      <c r="K8" s="43">
        <f>SUM(K5:K7)</f>
        <v/>
      </c>
      <c r="L8" s="28">
        <f>SUM(L5:L7)</f>
        <v/>
      </c>
      <c r="M8" s="28">
        <f>SUM(M5:M7)</f>
        <v/>
      </c>
      <c r="N8" s="44">
        <f>IF(E8=0,"",L8/E8)</f>
        <v/>
      </c>
    </row>
  </sheetData>
  <conditionalFormatting sqref="M5:M8">
    <cfRule type="cellIs" priority="1" operator="lessThan" dxfId="7">
      <formula>0</formula>
    </cfRule>
    <cfRule type="cellIs" priority="2" operator="greaterThan" dxfId="8">
      <formula>0</formula>
    </cfRule>
  </conditionalFormatting>
  <conditionalFormatting sqref="C5:C7">
    <cfRule type="cellIs" priority="3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2026-10-07T14:09:02Z</dcterms:created>
  <dcterms:modified xsi:type="dcterms:W3CDTF">2026-10-07T14:09:02Z</dcterms:modified>
</cp:coreProperties>
</file>